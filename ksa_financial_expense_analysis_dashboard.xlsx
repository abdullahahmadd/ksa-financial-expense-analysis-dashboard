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8_{F3BDD204-5295-4189-8642-99E495EEFB78}" xr6:coauthVersionLast="47" xr6:coauthVersionMax="47" xr10:uidLastSave="{00000000-0000-0000-0000-000000000000}"/>
  <bookViews>
    <workbookView xWindow="-120" yWindow="-120" windowWidth="20730" windowHeight="11040" xr2:uid="{96C28954-9ADC-49D6-8ABC-89B0077DFE47}"/>
  </bookViews>
  <sheets>
    <sheet name="Raw_Dataset" sheetId="1" r:id="rId1"/>
    <sheet name="Cleaned_Data" sheetId="2" r:id="rId2"/>
    <sheet name="Pivot_Tables" sheetId="3" r:id="rId3"/>
    <sheet name="Dashboard" sheetId="10" r:id="rId4"/>
  </sheets>
  <definedNames>
    <definedName name="Slicer_City">#N/A</definedName>
    <definedName name="Slicer_Department">#N/A</definedName>
    <definedName name="Slicer_Expense_Type">#N/A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1" i="2" l="1"/>
  <c r="G40" i="2"/>
  <c r="G3" i="2"/>
  <c r="G121" i="2"/>
  <c r="G283" i="2"/>
  <c r="G284" i="2"/>
  <c r="G7" i="2"/>
  <c r="G161" i="2"/>
  <c r="G196" i="2"/>
  <c r="G239" i="2"/>
  <c r="G41" i="2"/>
  <c r="G88" i="2"/>
  <c r="G50" i="2"/>
  <c r="G279" i="2"/>
  <c r="G132" i="2"/>
  <c r="G276" i="2"/>
  <c r="G271" i="2"/>
  <c r="G258" i="2"/>
  <c r="G301" i="2"/>
  <c r="G19" i="2"/>
  <c r="G123" i="2"/>
  <c r="G84" i="2"/>
  <c r="G280" i="2"/>
  <c r="G156" i="2"/>
  <c r="G80" i="2"/>
  <c r="G4" i="2"/>
  <c r="G250" i="2"/>
  <c r="G68" i="2"/>
  <c r="G140" i="2"/>
  <c r="G37" i="2"/>
  <c r="G114" i="2"/>
  <c r="G275" i="2"/>
  <c r="G189" i="2"/>
  <c r="G243" i="2"/>
  <c r="G278" i="2"/>
  <c r="G281" i="2"/>
  <c r="G207" i="2"/>
  <c r="G230" i="2"/>
  <c r="G89" i="2"/>
  <c r="G153" i="2"/>
  <c r="G47" i="2"/>
  <c r="G25" i="2"/>
  <c r="G26" i="2"/>
  <c r="G241" i="2"/>
  <c r="G288" i="2"/>
  <c r="G201" i="2"/>
  <c r="G187" i="2"/>
  <c r="G101" i="2"/>
  <c r="G159" i="2"/>
  <c r="G152" i="2"/>
  <c r="G95" i="2"/>
  <c r="G115" i="2"/>
  <c r="G46" i="2"/>
  <c r="G129" i="2"/>
  <c r="G51" i="2"/>
  <c r="G33" i="2"/>
  <c r="G58" i="2"/>
  <c r="G144" i="2"/>
  <c r="G61" i="2"/>
  <c r="G185" i="2"/>
  <c r="G43" i="2"/>
  <c r="G224" i="2"/>
  <c r="G265" i="2"/>
  <c r="G154" i="2"/>
  <c r="G78" i="2"/>
  <c r="G182" i="2"/>
  <c r="G74" i="2"/>
  <c r="G15" i="2"/>
  <c r="G73" i="2"/>
  <c r="G48" i="2"/>
  <c r="G190" i="2"/>
  <c r="G87" i="2"/>
  <c r="G300" i="2"/>
  <c r="G23" i="2"/>
  <c r="G199" i="2"/>
  <c r="G267" i="2"/>
  <c r="G38" i="2"/>
  <c r="G270" i="2"/>
  <c r="G42" i="2"/>
  <c r="G180" i="2"/>
  <c r="G251" i="2"/>
  <c r="G292" i="2"/>
  <c r="G223" i="2"/>
  <c r="G126" i="2"/>
  <c r="G246" i="2"/>
  <c r="G289" i="2"/>
  <c r="G69" i="2"/>
  <c r="G94" i="2"/>
  <c r="G168" i="2"/>
  <c r="G17" i="2"/>
  <c r="G12" i="2"/>
  <c r="G108" i="2"/>
  <c r="G14" i="2"/>
  <c r="G277" i="2"/>
  <c r="G211" i="2"/>
  <c r="G112" i="2"/>
  <c r="G54" i="2"/>
  <c r="G66" i="2"/>
  <c r="G234" i="2"/>
  <c r="G34" i="2"/>
  <c r="G96" i="2"/>
  <c r="G139" i="2"/>
  <c r="G221" i="2"/>
  <c r="G171" i="2"/>
  <c r="G72" i="2"/>
  <c r="G31" i="2"/>
  <c r="G92" i="2"/>
  <c r="G64" i="2"/>
  <c r="G209" i="2"/>
  <c r="G39" i="2"/>
  <c r="G35" i="2"/>
  <c r="G217" i="2"/>
  <c r="G163" i="2"/>
  <c r="G266" i="2"/>
  <c r="G274" i="2"/>
  <c r="G138" i="2"/>
  <c r="G169" i="2"/>
  <c r="G27" i="2"/>
  <c r="G142" i="2"/>
  <c r="G105" i="2"/>
  <c r="G205" i="2"/>
  <c r="G118" i="2"/>
  <c r="G99" i="2"/>
  <c r="G97" i="2"/>
  <c r="G52" i="2"/>
  <c r="G145" i="2"/>
  <c r="G116" i="2"/>
  <c r="G62" i="2"/>
  <c r="G173" i="2"/>
  <c r="G29" i="2"/>
  <c r="G79" i="2"/>
  <c r="G200" i="2"/>
  <c r="G208" i="2"/>
  <c r="G264" i="2"/>
  <c r="G290" i="2"/>
  <c r="G90" i="2"/>
  <c r="G11" i="2"/>
  <c r="G81" i="2"/>
  <c r="G220" i="2"/>
  <c r="G20" i="2"/>
  <c r="G124" i="2"/>
  <c r="G247" i="2"/>
  <c r="G249" i="2"/>
  <c r="G151" i="2"/>
  <c r="G109" i="2"/>
  <c r="G65" i="2"/>
  <c r="G57" i="2"/>
  <c r="G44" i="2"/>
  <c r="G117" i="2"/>
  <c r="G191" i="2"/>
  <c r="G204" i="2"/>
  <c r="G128" i="2"/>
  <c r="G75" i="2"/>
  <c r="G188" i="2"/>
  <c r="G235" i="2"/>
  <c r="G22" i="2"/>
  <c r="G229" i="2"/>
  <c r="G252" i="2"/>
  <c r="G225" i="2"/>
  <c r="G157" i="2"/>
  <c r="G125" i="2"/>
  <c r="G143" i="2"/>
  <c r="G98" i="2"/>
  <c r="G184" i="2"/>
  <c r="G291" i="2"/>
  <c r="G21" i="2"/>
  <c r="G146" i="2"/>
  <c r="G240" i="2"/>
  <c r="G177" i="2"/>
  <c r="G70" i="2"/>
  <c r="G30" i="2"/>
  <c r="G82" i="2"/>
  <c r="G18" i="2"/>
  <c r="G282" i="2"/>
  <c r="G263" i="2"/>
  <c r="G60" i="2"/>
  <c r="G183" i="2"/>
  <c r="G120" i="2"/>
  <c r="G255" i="2"/>
  <c r="G13" i="2"/>
  <c r="G71" i="2"/>
  <c r="G226" i="2"/>
  <c r="G45" i="2"/>
  <c r="G218" i="2"/>
  <c r="G176" i="2"/>
  <c r="G237" i="2"/>
  <c r="G150" i="2"/>
  <c r="G100" i="2"/>
  <c r="G9" i="2"/>
  <c r="G197" i="2"/>
  <c r="G272" i="2"/>
  <c r="G85" i="2"/>
  <c r="G194" i="2"/>
  <c r="G222" i="2"/>
  <c r="G192" i="2"/>
  <c r="G262" i="2"/>
  <c r="G186" i="2"/>
  <c r="G261" i="2"/>
  <c r="G228" i="2"/>
  <c r="G193" i="2"/>
  <c r="G113" i="2"/>
  <c r="G203" i="2"/>
  <c r="G91" i="2"/>
  <c r="G24" i="2"/>
  <c r="G260" i="2"/>
  <c r="G245" i="2"/>
  <c r="G236" i="2"/>
  <c r="G110" i="2"/>
  <c r="G294" i="2"/>
  <c r="G195" i="2"/>
  <c r="G206" i="2"/>
  <c r="G155" i="2"/>
  <c r="G10" i="2"/>
  <c r="G160" i="2"/>
  <c r="G122" i="2"/>
  <c r="G36" i="2"/>
  <c r="G135" i="2"/>
  <c r="G165" i="2"/>
  <c r="G119" i="2"/>
  <c r="G285" i="2"/>
  <c r="G86" i="2"/>
  <c r="G286" i="2"/>
  <c r="G257" i="2"/>
  <c r="G233" i="2"/>
  <c r="G102" i="2"/>
  <c r="G77" i="2"/>
  <c r="G53" i="2"/>
  <c r="G299" i="2"/>
  <c r="G295" i="2"/>
  <c r="G175" i="2"/>
  <c r="G287" i="2"/>
  <c r="G181" i="2"/>
  <c r="G198" i="2"/>
  <c r="G213" i="2"/>
  <c r="G133" i="2"/>
  <c r="G242" i="2"/>
  <c r="G232" i="2"/>
  <c r="G256" i="2"/>
  <c r="G273" i="2"/>
  <c r="G93" i="2"/>
  <c r="G269" i="2"/>
  <c r="G104" i="2"/>
  <c r="G254" i="2"/>
  <c r="G174" i="2"/>
  <c r="G83" i="2"/>
  <c r="G59" i="2"/>
  <c r="G147" i="2"/>
  <c r="G162" i="2"/>
  <c r="G67" i="2"/>
  <c r="G55" i="2"/>
  <c r="G178" i="2"/>
  <c r="G259" i="2"/>
  <c r="G136" i="2"/>
  <c r="G253" i="2"/>
  <c r="G107" i="2"/>
  <c r="G56" i="2"/>
  <c r="G210" i="2"/>
  <c r="G148" i="2"/>
  <c r="G238" i="2"/>
  <c r="G202" i="2"/>
  <c r="G8" i="2"/>
  <c r="G170" i="2"/>
  <c r="G63" i="2"/>
  <c r="G164" i="2"/>
  <c r="G32" i="2"/>
  <c r="G244" i="2"/>
  <c r="G227" i="2"/>
  <c r="G268" i="2"/>
  <c r="G158" i="2"/>
  <c r="G167" i="2"/>
  <c r="G212" i="2"/>
  <c r="G293" i="2"/>
  <c r="G215" i="2"/>
  <c r="G5" i="2"/>
  <c r="G111" i="2"/>
  <c r="G179" i="2"/>
  <c r="G149" i="2"/>
  <c r="G131" i="2"/>
  <c r="G28" i="2"/>
  <c r="G76" i="2"/>
  <c r="G214" i="2"/>
  <c r="G298" i="2"/>
  <c r="G166" i="2"/>
  <c r="G130" i="2"/>
  <c r="G106" i="2"/>
  <c r="G141" i="2"/>
  <c r="G248" i="2"/>
  <c r="G127" i="2"/>
  <c r="G2" i="2"/>
  <c r="G216" i="2"/>
  <c r="G219" i="2"/>
  <c r="G137" i="2"/>
  <c r="G6" i="2"/>
  <c r="G297" i="2"/>
  <c r="G49" i="2"/>
  <c r="G134" i="2"/>
  <c r="G103" i="2"/>
  <c r="G16" i="2"/>
  <c r="G172" i="2"/>
  <c r="G296" i="2"/>
  <c r="K219" i="2"/>
  <c r="K137" i="2"/>
  <c r="K6" i="2"/>
  <c r="K297" i="2"/>
  <c r="K49" i="2"/>
  <c r="K134" i="2"/>
  <c r="K103" i="2"/>
  <c r="K16" i="2"/>
  <c r="K172" i="2"/>
  <c r="K231" i="2"/>
  <c r="K40" i="2"/>
  <c r="K3" i="2"/>
  <c r="K121" i="2"/>
  <c r="K283" i="2"/>
  <c r="K284" i="2"/>
  <c r="K7" i="2"/>
  <c r="K161" i="2"/>
  <c r="K196" i="2"/>
  <c r="K239" i="2"/>
  <c r="K41" i="2"/>
  <c r="K88" i="2"/>
  <c r="K50" i="2"/>
  <c r="K279" i="2"/>
  <c r="K132" i="2"/>
  <c r="K276" i="2"/>
  <c r="K271" i="2"/>
  <c r="K258" i="2"/>
  <c r="K301" i="2"/>
  <c r="K19" i="2"/>
  <c r="K123" i="2"/>
  <c r="K84" i="2"/>
  <c r="K280" i="2"/>
  <c r="K156" i="2"/>
  <c r="K80" i="2"/>
  <c r="K4" i="2"/>
  <c r="K250" i="2"/>
  <c r="K68" i="2"/>
  <c r="K140" i="2"/>
  <c r="K37" i="2"/>
  <c r="K114" i="2"/>
  <c r="K275" i="2"/>
  <c r="K189" i="2"/>
  <c r="K243" i="2"/>
  <c r="K278" i="2"/>
  <c r="K281" i="2"/>
  <c r="K207" i="2"/>
  <c r="K230" i="2"/>
  <c r="K89" i="2"/>
  <c r="K153" i="2"/>
  <c r="K47" i="2"/>
  <c r="K25" i="2"/>
  <c r="K26" i="2"/>
  <c r="K241" i="2"/>
  <c r="K288" i="2"/>
  <c r="K201" i="2"/>
  <c r="K187" i="2"/>
  <c r="K101" i="2"/>
  <c r="K159" i="2"/>
  <c r="K152" i="2"/>
  <c r="K95" i="2"/>
  <c r="K115" i="2"/>
  <c r="K46" i="2"/>
  <c r="K129" i="2"/>
  <c r="K51" i="2"/>
  <c r="K33" i="2"/>
  <c r="K58" i="2"/>
  <c r="K144" i="2"/>
  <c r="K61" i="2"/>
  <c r="K185" i="2"/>
  <c r="K43" i="2"/>
  <c r="K224" i="2"/>
  <c r="K265" i="2"/>
  <c r="K154" i="2"/>
  <c r="K78" i="2"/>
  <c r="K182" i="2"/>
  <c r="K74" i="2"/>
  <c r="K15" i="2"/>
  <c r="K73" i="2"/>
  <c r="K48" i="2"/>
  <c r="K190" i="2"/>
  <c r="K87" i="2"/>
  <c r="K300" i="2"/>
  <c r="K23" i="2"/>
  <c r="K199" i="2"/>
  <c r="K267" i="2"/>
  <c r="K38" i="2"/>
  <c r="K270" i="2"/>
  <c r="K42" i="2"/>
  <c r="K180" i="2"/>
  <c r="K251" i="2"/>
  <c r="K292" i="2"/>
  <c r="K223" i="2"/>
  <c r="K126" i="2"/>
  <c r="K246" i="2"/>
  <c r="K289" i="2"/>
  <c r="K69" i="2"/>
  <c r="K94" i="2"/>
  <c r="K168" i="2"/>
  <c r="K17" i="2"/>
  <c r="K12" i="2"/>
  <c r="K108" i="2"/>
  <c r="K14" i="2"/>
  <c r="K277" i="2"/>
  <c r="K211" i="2"/>
  <c r="K112" i="2"/>
  <c r="K54" i="2"/>
  <c r="K66" i="2"/>
  <c r="K234" i="2"/>
  <c r="K34" i="2"/>
  <c r="K96" i="2"/>
  <c r="K139" i="2"/>
  <c r="K221" i="2"/>
  <c r="K171" i="2"/>
  <c r="K72" i="2"/>
  <c r="K31" i="2"/>
  <c r="K92" i="2"/>
  <c r="K64" i="2"/>
  <c r="K209" i="2"/>
  <c r="K39" i="2"/>
  <c r="K35" i="2"/>
  <c r="K217" i="2"/>
  <c r="K163" i="2"/>
  <c r="K266" i="2"/>
  <c r="K274" i="2"/>
  <c r="K138" i="2"/>
  <c r="K169" i="2"/>
  <c r="K27" i="2"/>
  <c r="K142" i="2"/>
  <c r="K105" i="2"/>
  <c r="K205" i="2"/>
  <c r="K118" i="2"/>
  <c r="K99" i="2"/>
  <c r="K97" i="2"/>
  <c r="K52" i="2"/>
  <c r="K145" i="2"/>
  <c r="K116" i="2"/>
  <c r="K62" i="2"/>
  <c r="K173" i="2"/>
  <c r="K29" i="2"/>
  <c r="K79" i="2"/>
  <c r="K200" i="2"/>
  <c r="K208" i="2"/>
  <c r="K264" i="2"/>
  <c r="K290" i="2"/>
  <c r="K90" i="2"/>
  <c r="K11" i="2"/>
  <c r="K81" i="2"/>
  <c r="K220" i="2"/>
  <c r="K20" i="2"/>
  <c r="K124" i="2"/>
  <c r="K247" i="2"/>
  <c r="K249" i="2"/>
  <c r="K151" i="2"/>
  <c r="K109" i="2"/>
  <c r="K65" i="2"/>
  <c r="K57" i="2"/>
  <c r="K44" i="2"/>
  <c r="K117" i="2"/>
  <c r="K191" i="2"/>
  <c r="K204" i="2"/>
  <c r="K128" i="2"/>
  <c r="K75" i="2"/>
  <c r="K188" i="2"/>
  <c r="K235" i="2"/>
  <c r="K22" i="2"/>
  <c r="K229" i="2"/>
  <c r="K252" i="2"/>
  <c r="K225" i="2"/>
  <c r="K157" i="2"/>
  <c r="K125" i="2"/>
  <c r="K143" i="2"/>
  <c r="K98" i="2"/>
  <c r="K184" i="2"/>
  <c r="K291" i="2"/>
  <c r="K21" i="2"/>
  <c r="K146" i="2"/>
  <c r="K240" i="2"/>
  <c r="K177" i="2"/>
  <c r="K70" i="2"/>
  <c r="K30" i="2"/>
  <c r="K82" i="2"/>
  <c r="K18" i="2"/>
  <c r="K282" i="2"/>
  <c r="K263" i="2"/>
  <c r="K60" i="2"/>
  <c r="K183" i="2"/>
  <c r="K120" i="2"/>
  <c r="K255" i="2"/>
  <c r="K13" i="2"/>
  <c r="K71" i="2"/>
  <c r="K226" i="2"/>
  <c r="K45" i="2"/>
  <c r="K218" i="2"/>
  <c r="K176" i="2"/>
  <c r="K237" i="2"/>
  <c r="K150" i="2"/>
  <c r="K100" i="2"/>
  <c r="K9" i="2"/>
  <c r="K197" i="2"/>
  <c r="K272" i="2"/>
  <c r="K85" i="2"/>
  <c r="K194" i="2"/>
  <c r="K222" i="2"/>
  <c r="K192" i="2"/>
  <c r="K262" i="2"/>
  <c r="K186" i="2"/>
  <c r="K261" i="2"/>
  <c r="K228" i="2"/>
  <c r="K193" i="2"/>
  <c r="K113" i="2"/>
  <c r="K203" i="2"/>
  <c r="K91" i="2"/>
  <c r="K24" i="2"/>
  <c r="K260" i="2"/>
  <c r="K245" i="2"/>
  <c r="K236" i="2"/>
  <c r="K110" i="2"/>
  <c r="K294" i="2"/>
  <c r="K195" i="2"/>
  <c r="K206" i="2"/>
  <c r="K155" i="2"/>
  <c r="K10" i="2"/>
  <c r="K160" i="2"/>
  <c r="K122" i="2"/>
  <c r="K36" i="2"/>
  <c r="K135" i="2"/>
  <c r="K165" i="2"/>
  <c r="K119" i="2"/>
  <c r="K285" i="2"/>
  <c r="K86" i="2"/>
  <c r="K286" i="2"/>
  <c r="K257" i="2"/>
  <c r="K233" i="2"/>
  <c r="K102" i="2"/>
  <c r="K77" i="2"/>
  <c r="K53" i="2"/>
  <c r="K299" i="2"/>
  <c r="K295" i="2"/>
  <c r="K175" i="2"/>
  <c r="K287" i="2"/>
  <c r="K181" i="2"/>
  <c r="K198" i="2"/>
  <c r="K213" i="2"/>
  <c r="K133" i="2"/>
  <c r="K242" i="2"/>
  <c r="K232" i="2"/>
  <c r="K256" i="2"/>
  <c r="K273" i="2"/>
  <c r="K93" i="2"/>
  <c r="K269" i="2"/>
  <c r="K104" i="2"/>
  <c r="K254" i="2"/>
  <c r="K174" i="2"/>
  <c r="K83" i="2"/>
  <c r="K59" i="2"/>
  <c r="K147" i="2"/>
  <c r="K162" i="2"/>
  <c r="K67" i="2"/>
  <c r="K55" i="2"/>
  <c r="K178" i="2"/>
  <c r="K259" i="2"/>
  <c r="K136" i="2"/>
  <c r="K253" i="2"/>
  <c r="K107" i="2"/>
  <c r="K56" i="2"/>
  <c r="K210" i="2"/>
  <c r="K148" i="2"/>
  <c r="K238" i="2"/>
  <c r="K202" i="2"/>
  <c r="K8" i="2"/>
  <c r="K170" i="2"/>
  <c r="K63" i="2"/>
  <c r="K164" i="2"/>
  <c r="K32" i="2"/>
  <c r="K244" i="2"/>
  <c r="K227" i="2"/>
  <c r="K268" i="2"/>
  <c r="K158" i="2"/>
  <c r="K167" i="2"/>
  <c r="K212" i="2"/>
  <c r="K293" i="2"/>
  <c r="K215" i="2"/>
  <c r="K5" i="2"/>
  <c r="K111" i="2"/>
  <c r="K179" i="2"/>
  <c r="K149" i="2"/>
  <c r="K131" i="2"/>
  <c r="K28" i="2"/>
  <c r="K76" i="2"/>
  <c r="K214" i="2"/>
  <c r="K298" i="2"/>
  <c r="K166" i="2"/>
  <c r="K130" i="2"/>
  <c r="K106" i="2"/>
  <c r="K141" i="2"/>
  <c r="K248" i="2"/>
  <c r="K127" i="2"/>
  <c r="K2" i="2"/>
  <c r="K216" i="2"/>
  <c r="K296" i="2"/>
  <c r="C216" i="2"/>
  <c r="C2" i="2"/>
  <c r="C127" i="2"/>
  <c r="C248" i="2"/>
  <c r="C141" i="2"/>
  <c r="C106" i="2"/>
  <c r="C130" i="2"/>
  <c r="C166" i="2"/>
  <c r="C298" i="2"/>
  <c r="C214" i="2"/>
  <c r="C76" i="2"/>
  <c r="C28" i="2"/>
  <c r="C131" i="2"/>
  <c r="C149" i="2"/>
  <c r="C179" i="2"/>
  <c r="C111" i="2"/>
  <c r="C5" i="2"/>
  <c r="C215" i="2"/>
  <c r="C293" i="2"/>
  <c r="C212" i="2"/>
  <c r="C167" i="2"/>
  <c r="C158" i="2"/>
  <c r="C268" i="2"/>
  <c r="C227" i="2"/>
  <c r="C244" i="2"/>
  <c r="C32" i="2"/>
  <c r="C164" i="2"/>
  <c r="C63" i="2"/>
  <c r="C170" i="2"/>
  <c r="C8" i="2"/>
  <c r="C202" i="2"/>
  <c r="C238" i="2"/>
  <c r="C148" i="2"/>
  <c r="C210" i="2"/>
  <c r="C56" i="2"/>
  <c r="C107" i="2"/>
  <c r="C253" i="2"/>
  <c r="C136" i="2"/>
  <c r="C259" i="2"/>
  <c r="C178" i="2"/>
  <c r="C55" i="2"/>
  <c r="C67" i="2"/>
  <c r="C162" i="2"/>
  <c r="C147" i="2"/>
  <c r="C59" i="2"/>
  <c r="C83" i="2"/>
  <c r="C174" i="2"/>
  <c r="C254" i="2"/>
  <c r="C104" i="2"/>
  <c r="C269" i="2"/>
  <c r="C93" i="2"/>
  <c r="C273" i="2"/>
  <c r="C256" i="2"/>
  <c r="C232" i="2"/>
  <c r="C242" i="2"/>
  <c r="C133" i="2"/>
  <c r="C213" i="2"/>
  <c r="C198" i="2"/>
  <c r="C181" i="2"/>
  <c r="C287" i="2"/>
  <c r="C175" i="2"/>
  <c r="C295" i="2"/>
  <c r="C299" i="2"/>
  <c r="C53" i="2"/>
  <c r="C77" i="2"/>
  <c r="C102" i="2"/>
  <c r="C233" i="2"/>
  <c r="C257" i="2"/>
  <c r="C286" i="2"/>
  <c r="C86" i="2"/>
  <c r="C285" i="2"/>
  <c r="C119" i="2"/>
  <c r="C165" i="2"/>
  <c r="C135" i="2"/>
  <c r="C36" i="2"/>
  <c r="C122" i="2"/>
  <c r="C160" i="2"/>
  <c r="C10" i="2"/>
  <c r="C155" i="2"/>
  <c r="C206" i="2"/>
  <c r="C195" i="2"/>
  <c r="C294" i="2"/>
  <c r="C110" i="2"/>
  <c r="C236" i="2"/>
  <c r="C245" i="2"/>
  <c r="C260" i="2"/>
  <c r="C24" i="2"/>
  <c r="C91" i="2"/>
  <c r="C203" i="2"/>
  <c r="C113" i="2"/>
  <c r="C193" i="2"/>
  <c r="C228" i="2"/>
  <c r="C261" i="2"/>
  <c r="C186" i="2"/>
  <c r="C262" i="2"/>
  <c r="C192" i="2"/>
  <c r="C222" i="2"/>
  <c r="C194" i="2"/>
  <c r="C85" i="2"/>
  <c r="C272" i="2"/>
  <c r="C197" i="2"/>
  <c r="C9" i="2"/>
  <c r="C100" i="2"/>
  <c r="C150" i="2"/>
  <c r="C237" i="2"/>
  <c r="C176" i="2"/>
  <c r="C218" i="2"/>
  <c r="C45" i="2"/>
  <c r="C226" i="2"/>
  <c r="C71" i="2"/>
  <c r="C13" i="2"/>
  <c r="C255" i="2"/>
  <c r="C120" i="2"/>
  <c r="C183" i="2"/>
  <c r="C60" i="2"/>
  <c r="C263" i="2"/>
  <c r="C282" i="2"/>
  <c r="C18" i="2"/>
  <c r="C82" i="2"/>
  <c r="C30" i="2"/>
  <c r="C70" i="2"/>
  <c r="C177" i="2"/>
  <c r="C240" i="2"/>
  <c r="C146" i="2"/>
  <c r="C21" i="2"/>
  <c r="C291" i="2"/>
  <c r="C184" i="2"/>
  <c r="C98" i="2"/>
  <c r="C143" i="2"/>
  <c r="C125" i="2"/>
  <c r="C157" i="2"/>
  <c r="C225" i="2"/>
  <c r="C252" i="2"/>
  <c r="C229" i="2"/>
  <c r="C22" i="2"/>
  <c r="C235" i="2"/>
  <c r="C188" i="2"/>
  <c r="C75" i="2"/>
  <c r="C128" i="2"/>
  <c r="C204" i="2"/>
  <c r="C191" i="2"/>
  <c r="C117" i="2"/>
  <c r="C44" i="2"/>
  <c r="C57" i="2"/>
  <c r="C65" i="2"/>
  <c r="C109" i="2"/>
  <c r="C151" i="2"/>
  <c r="C249" i="2"/>
  <c r="C247" i="2"/>
  <c r="C124" i="2"/>
  <c r="C20" i="2"/>
  <c r="C220" i="2"/>
  <c r="C81" i="2"/>
  <c r="C11" i="2"/>
  <c r="C90" i="2"/>
  <c r="C290" i="2"/>
  <c r="C264" i="2"/>
  <c r="C208" i="2"/>
  <c r="C200" i="2"/>
  <c r="C79" i="2"/>
  <c r="C29" i="2"/>
  <c r="C173" i="2"/>
  <c r="C62" i="2"/>
  <c r="C116" i="2"/>
  <c r="C145" i="2"/>
  <c r="C52" i="2"/>
  <c r="C97" i="2"/>
  <c r="C99" i="2"/>
  <c r="C118" i="2"/>
  <c r="C205" i="2"/>
  <c r="C105" i="2"/>
  <c r="C142" i="2"/>
  <c r="C27" i="2"/>
  <c r="C169" i="2"/>
  <c r="C138" i="2"/>
  <c r="C274" i="2"/>
  <c r="C266" i="2"/>
  <c r="C163" i="2"/>
  <c r="C217" i="2"/>
  <c r="C35" i="2"/>
  <c r="C39" i="2"/>
  <c r="C209" i="2"/>
  <c r="C64" i="2"/>
  <c r="C92" i="2"/>
  <c r="C31" i="2"/>
  <c r="C72" i="2"/>
  <c r="C171" i="2"/>
  <c r="C221" i="2"/>
  <c r="C139" i="2"/>
  <c r="C96" i="2"/>
  <c r="C34" i="2"/>
  <c r="C234" i="2"/>
  <c r="C66" i="2"/>
  <c r="C54" i="2"/>
  <c r="C112" i="2"/>
  <c r="C211" i="2"/>
  <c r="C277" i="2"/>
  <c r="C14" i="2"/>
  <c r="C108" i="2"/>
  <c r="C12" i="2"/>
  <c r="C17" i="2"/>
  <c r="C168" i="2"/>
  <c r="C94" i="2"/>
  <c r="C69" i="2"/>
  <c r="C289" i="2"/>
  <c r="C246" i="2"/>
  <c r="C126" i="2"/>
  <c r="C223" i="2"/>
  <c r="C292" i="2"/>
  <c r="C251" i="2"/>
  <c r="C180" i="2"/>
  <c r="C42" i="2"/>
  <c r="C270" i="2"/>
  <c r="C38" i="2"/>
  <c r="C267" i="2"/>
  <c r="C199" i="2"/>
  <c r="C23" i="2"/>
  <c r="C300" i="2"/>
  <c r="C87" i="2"/>
  <c r="C190" i="2"/>
  <c r="C48" i="2"/>
  <c r="C73" i="2"/>
  <c r="C15" i="2"/>
  <c r="C74" i="2"/>
  <c r="C182" i="2"/>
  <c r="C78" i="2"/>
  <c r="C154" i="2"/>
  <c r="C265" i="2"/>
  <c r="C224" i="2"/>
  <c r="C43" i="2"/>
  <c r="C185" i="2"/>
  <c r="C61" i="2"/>
  <c r="C144" i="2"/>
  <c r="C58" i="2"/>
  <c r="C33" i="2"/>
  <c r="C51" i="2"/>
  <c r="C129" i="2"/>
  <c r="C46" i="2"/>
  <c r="C115" i="2"/>
  <c r="C95" i="2"/>
  <c r="C152" i="2"/>
  <c r="C159" i="2"/>
  <c r="C101" i="2"/>
  <c r="C187" i="2"/>
  <c r="C201" i="2"/>
  <c r="C288" i="2"/>
  <c r="C241" i="2"/>
  <c r="C26" i="2"/>
  <c r="C25" i="2"/>
  <c r="C47" i="2"/>
  <c r="C153" i="2"/>
  <c r="C89" i="2"/>
  <c r="C230" i="2"/>
  <c r="C207" i="2"/>
  <c r="C281" i="2"/>
  <c r="C278" i="2"/>
  <c r="C243" i="2"/>
  <c r="C189" i="2"/>
  <c r="C275" i="2"/>
  <c r="C114" i="2"/>
  <c r="C37" i="2"/>
  <c r="C140" i="2"/>
  <c r="C68" i="2"/>
  <c r="C250" i="2"/>
  <c r="C4" i="2"/>
  <c r="C80" i="2"/>
  <c r="C156" i="2"/>
  <c r="C280" i="2"/>
  <c r="C84" i="2"/>
  <c r="C123" i="2"/>
  <c r="C19" i="2"/>
  <c r="C301" i="2"/>
  <c r="C258" i="2"/>
  <c r="C271" i="2"/>
  <c r="C276" i="2"/>
  <c r="C132" i="2"/>
  <c r="C279" i="2"/>
  <c r="C50" i="2"/>
  <c r="C88" i="2"/>
  <c r="C41" i="2"/>
  <c r="C239" i="2"/>
  <c r="C196" i="2"/>
  <c r="C161" i="2"/>
  <c r="C7" i="2"/>
  <c r="C284" i="2"/>
  <c r="C283" i="2"/>
  <c r="C121" i="2"/>
  <c r="C3" i="2"/>
  <c r="C40" i="2"/>
  <c r="C231" i="2"/>
  <c r="C172" i="2"/>
  <c r="C16" i="2"/>
  <c r="C103" i="2"/>
  <c r="C134" i="2"/>
  <c r="C49" i="2"/>
  <c r="C297" i="2"/>
  <c r="C6" i="2"/>
  <c r="C137" i="2"/>
  <c r="C219" i="2"/>
  <c r="C296" i="2"/>
</calcChain>
</file>

<file path=xl/sharedStrings.xml><?xml version="1.0" encoding="utf-8"?>
<sst xmlns="http://schemas.openxmlformats.org/spreadsheetml/2006/main" count="3057" uniqueCount="44">
  <si>
    <t>TransactionID</t>
  </si>
  <si>
    <t>Date</t>
  </si>
  <si>
    <t>Department</t>
  </si>
  <si>
    <t>City</t>
  </si>
  <si>
    <t>ExpenseType</t>
  </si>
  <si>
    <t>Amount</t>
  </si>
  <si>
    <t>PaymentMethod</t>
  </si>
  <si>
    <t>Approved</t>
  </si>
  <si>
    <t>Finance</t>
  </si>
  <si>
    <t>Riyadh</t>
  </si>
  <si>
    <t>Salaries</t>
  </si>
  <si>
    <t>Credit</t>
  </si>
  <si>
    <t>Yes</t>
  </si>
  <si>
    <t>IT</t>
  </si>
  <si>
    <t>Makkah</t>
  </si>
  <si>
    <t>Utilities</t>
  </si>
  <si>
    <t>Cash</t>
  </si>
  <si>
    <t>No</t>
  </si>
  <si>
    <t>Rent</t>
  </si>
  <si>
    <t>Bank Transfer</t>
  </si>
  <si>
    <t>Jeddah</t>
  </si>
  <si>
    <t>Operations</t>
  </si>
  <si>
    <t>Dammam</t>
  </si>
  <si>
    <t>HR</t>
  </si>
  <si>
    <t>Marketing</t>
  </si>
  <si>
    <t>Sales</t>
  </si>
  <si>
    <t>Transport</t>
  </si>
  <si>
    <t>Maintenance</t>
  </si>
  <si>
    <t>Month</t>
  </si>
  <si>
    <t>Transaction_ID</t>
  </si>
  <si>
    <t>Expense_Type</t>
  </si>
  <si>
    <t>Payment_Method</t>
  </si>
  <si>
    <t>Approval_Rate</t>
  </si>
  <si>
    <t>Expense_Category</t>
  </si>
  <si>
    <t>Sum of Amount</t>
  </si>
  <si>
    <t>Total Expenses</t>
  </si>
  <si>
    <t>Row Labels</t>
  </si>
  <si>
    <t>Grand Total</t>
  </si>
  <si>
    <t>Count of Transaction_ID</t>
  </si>
  <si>
    <t>Count of Approval_Rate</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</si>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</sst>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SAR]\ #,##0.00"/>
    <numFmt numFmtId="167" formatCode="_([$SAR]\ * #,##0_);_([$SAR]\ * \(#,##0\);_([$SAR]\ *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249977111117893"/>
        <bgColor indexed="64"/>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19" fillId="33" borderId="0" xfId="0" applyFont="1" applyFill="1"/>
    <xf numFmtId="0" fontId="18" fillId="34" borderId="0" xfId="0" applyFont="1" applyFill="1"/>
    <xf numFmtId="164" fontId="0" fillId="0" borderId="0" xfId="0" applyNumberFormat="1"/>
    <xf numFmtId="0" fontId="16" fillId="33" borderId="0" xfId="0" applyFont="1" applyFill="1"/>
    <xf numFmtId="0" fontId="0" fillId="33" borderId="0" xfId="0" applyFill="1"/>
    <xf numFmtId="0" fontId="17" fillId="34" borderId="0" xfId="0" applyFont="1" applyFill="1"/>
    <xf numFmtId="0" fontId="13" fillId="34" borderId="0" xfId="0" applyFont="1" applyFill="1"/>
    <xf numFmtId="165" fontId="13" fillId="34" borderId="0" xfId="0" applyNumberFormat="1" applyFont="1" applyFill="1"/>
    <xf numFmtId="165" fontId="0" fillId="0" borderId="0" xfId="0" applyNumberFormat="1"/>
    <xf numFmtId="166" fontId="13" fillId="34" borderId="0" xfId="0" applyNumberFormat="1" applyFont="1" applyFill="1"/>
    <xf numFmtId="166" fontId="0" fillId="0" borderId="0" xfId="0" applyNumberFormat="1"/>
    <xf numFmtId="0" fontId="0" fillId="0" borderId="0" xfId="0" applyAlignment="1">
      <alignment horizontal="left"/>
    </xf>
    <xf numFmtId="0" fontId="17" fillId="35" borderId="0" xfId="0" applyFont="1" applyFill="1" applyAlignment="1">
      <alignment horizontal="left"/>
    </xf>
    <xf numFmtId="166" fontId="17" fillId="35" borderId="0" xfId="0" applyNumberFormat="1" applyFont="1" applyFill="1"/>
    <xf numFmtId="0" fontId="17" fillId="35" borderId="0" xfId="0" applyFont="1" applyFill="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fill>
        <patternFill>
          <bgColor theme="0" tint="-0.499984740745262"/>
        </patternFill>
      </fill>
    </dxf>
    <dxf>
      <fill>
        <patternFill>
          <bgColor theme="0" tint="-0.499984740745262"/>
        </patternFill>
      </fill>
    </dxf>
    <dxf>
      <font>
        <color theme="0"/>
      </font>
    </dxf>
    <dxf>
      <font>
        <color theme="0"/>
      </font>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ont>
        <color theme="0"/>
      </font>
    </dxf>
    <dxf>
      <font>
        <color theme="0"/>
      </font>
    </dxf>
    <dxf>
      <fill>
        <patternFill>
          <bgColor theme="0" tint="-0.499984740745262"/>
        </patternFill>
      </fill>
    </dxf>
    <dxf>
      <fill>
        <patternFill>
          <bgColor theme="0" tint="-0.499984740745262"/>
        </patternFill>
      </fill>
    </dxf>
    <dxf>
      <fill>
        <patternFill patternType="solid">
          <bgColor theme="3" tint="0.249977111117893"/>
        </patternFill>
      </fill>
    </dxf>
    <dxf>
      <fill>
        <patternFill patternType="solid">
          <bgColor theme="3" tint="0.249977111117893"/>
        </patternFill>
      </fill>
    </dxf>
    <dxf>
      <font>
        <color theme="0"/>
      </font>
    </dxf>
    <dxf>
      <font>
        <color theme="0"/>
      </font>
    </dxf>
    <dxf>
      <font>
        <color theme="0"/>
      </font>
    </dxf>
    <dxf>
      <font>
        <color theme="0"/>
      </font>
    </dxf>
    <dxf>
      <fill>
        <patternFill patternType="solid">
          <bgColor theme="3" tint="0.249977111117893"/>
        </patternFill>
      </fill>
    </dxf>
    <dxf>
      <fill>
        <patternFill patternType="solid">
          <bgColor theme="3" tint="0.249977111117893"/>
        </patternFill>
      </fill>
    </dxf>
    <dxf>
      <fill>
        <patternFill>
          <bgColor theme="0" tint="-0.499984740745262"/>
        </patternFill>
      </fill>
    </dxf>
    <dxf>
      <fill>
        <patternFill>
          <bgColor theme="0" tint="-0.499984740745262"/>
        </patternFill>
      </fill>
    </dxf>
    <dxf>
      <font>
        <color theme="0"/>
      </font>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ont>
        <color theme="0"/>
      </font>
    </dxf>
    <dxf>
      <font>
        <color theme="0"/>
      </font>
    </dxf>
    <dxf>
      <font>
        <color theme="0"/>
      </font>
    </dxf>
    <dxf>
      <fill>
        <patternFill patternType="solid">
          <bgColor theme="3" tint="0.249977111117893"/>
        </patternFill>
      </fill>
    </dxf>
    <dxf>
      <fill>
        <patternFill>
          <bgColor theme="0" tint="-0.499984740745262"/>
        </patternFill>
      </fill>
    </dxf>
    <dxf>
      <fill>
        <patternFill>
          <bgColor theme="0" tint="-0.499984740745262"/>
        </patternFill>
      </fill>
    </dxf>
    <dxf>
      <font>
        <color theme="0"/>
      </font>
    </dxf>
    <dxf>
      <font>
        <color theme="0"/>
      </font>
    </dxf>
    <dxf>
      <fill>
        <patternFill patternType="solid">
          <bgColor theme="3" tint="0.249977111117893"/>
        </patternFill>
      </fill>
    </dxf>
    <dxf>
      <fill>
        <patternFill patternType="solid">
          <bgColor theme="3" tint="0.249977111117893"/>
        </patternFill>
      </fill>
    </dxf>
    <dxf>
      <font>
        <color theme="0"/>
      </font>
    </dxf>
    <dxf>
      <font>
        <color theme="0"/>
      </font>
    </dxf>
    <dxf>
      <fill>
        <patternFill patternType="solid">
          <bgColor theme="3" tint="0.249977111117893"/>
        </patternFill>
      </fill>
    </dxf>
    <dxf>
      <fill>
        <patternFill patternType="solid">
          <bgColor theme="3" tint="0.249977111117893"/>
        </patternFill>
      </fill>
    </dxf>
    <dxf>
      <fill>
        <patternFill>
          <bgColor theme="0" tint="-0.499984740745262"/>
        </patternFill>
      </fill>
    </dxf>
    <dxf>
      <fill>
        <patternFill>
          <bgColor theme="0" tint="-0.499984740745262"/>
        </patternFill>
      </fill>
    </dxf>
    <dxf>
      <font>
        <color theme="0"/>
      </font>
    </dxf>
    <dxf>
      <font>
        <color theme="0"/>
      </font>
    </dxf>
    <dxf>
      <fill>
        <patternFill patternType="solid">
          <bgColor theme="3" tint="0.249977111117893"/>
        </patternFill>
      </fill>
    </dxf>
    <dxf>
      <fill>
        <patternFill patternType="solid">
          <bgColor theme="3" tint="0.249977111117893"/>
        </patternFill>
      </fill>
    </dxf>
    <dxf>
      <font>
        <color theme="0"/>
      </font>
    </dxf>
    <dxf>
      <font>
        <color theme="0"/>
      </font>
    </dxf>
    <dxf>
      <fill>
        <patternFill patternType="solid">
          <bgColor theme="3" tint="0.249977111117893"/>
        </patternFill>
      </fill>
    </dxf>
    <dxf>
      <fill>
        <patternFill patternType="solid">
          <bgColor theme="3"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[ksa_financial_expense_analysis_dashboard.xlsx]Pivot_Tables!PivotTable4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Department-wise Expense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Pivot_Tables!$D$13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Pivot_Tables!$C$14:$C$19</c:f>
              <c:strCache>
                <c:ptCount val="5"/>
                <c:pt idx="0">
                  <c:v>Finance</c:v>
                </c:pt>
                <c:pt idx="1">
                  <c:v>HR</c:v>
                </c:pt>
                <c:pt idx="2">
                  <c:v>IT</c:v>
                </c:pt>
                <c:pt idx="3">
                  <c:v>Operations</c:v>
                </c:pt>
                <c:pt idx="4">
                  <c:v>Sales</c:v>
                </c:pt>
              </c:strCache>
            </c:strRef>
          </c:cat>
          <c:val>
            <c:numRef>
              <c:f>Pivot_Tables!$D$14:$D$19</c:f>
              <c:numCache>
                <c:formatCode>[$SAR]\ #,##0.00</c:formatCode>
                <c:ptCount val="5"/>
                <c:pt idx="0">
                  <c:v>670274</c:v>
                </c:pt>
                <c:pt idx="1">
                  <c:v>583652</c:v>
                </c:pt>
                <c:pt idx="2">
                  <c:v>680748</c:v>
                </c:pt>
                <c:pt idx="3">
                  <c:v>501538</c:v>
                </c:pt>
                <c:pt idx="4">
                  <c:v>637309</c:v>
                </c:pt>
              </c:numCache>
            </c:numRef>
          </c:val>
          <c:extLst>
            <c:ext xmlns:c16="http://schemas.microsoft.com/office/drawing/2014/chart" uri="{C3380CC4-5D6E-409C-BE32-E72D297353CC}">
              <c16:uniqueId val="{00000000-89B3-4EC6-9413-7E3FBE68A1D7}"/>
            </c:ext>
          </c:extLst>
        </c:ser>
        <c:dLbls>
          <c:showLegendKey val="0"/>
          <c:showVal val="1"/>
          <c:showCatName val="0"/>
          <c:showSerName val="0"/>
          <c:showPercent val="0"/>
          <c:showBubbleSize val="0"/>
        </c:dLbls>
        <c:gapWidth val="219"/>
        <c:overlap val="-27"/>
        <c:axId val="1480803023"/>
        <c:axId val="1698344047"/>
      </c:barChart>
      <c:catAx>
        <c:axId val="148080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344047"/>
        <c:crosses val="autoZero"/>
        <c:auto val="1"/>
        <c:lblAlgn val="ctr"/>
        <c:lblOffset val="100"/>
        <c:noMultiLvlLbl val="0"/>
      </c:catAx>
      <c:valAx>
        <c:axId val="1698344047"/>
        <c:scaling>
          <c:orientation val="minMax"/>
        </c:scaling>
        <c:delete val="0"/>
        <c:axPos val="l"/>
        <c:majorGridlines>
          <c:spPr>
            <a:ln w="9525" cap="flat" cmpd="sng" algn="ctr">
              <a:solidFill>
                <a:schemeClr val="tx1">
                  <a:lumMod val="15000"/>
                  <a:lumOff val="85000"/>
                </a:schemeClr>
              </a:solidFill>
              <a:round/>
            </a:ln>
            <a:effectLst/>
          </c:spPr>
        </c:majorGridlines>
        <c:numFmt formatCode="[$SA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03023"/>
        <c:crosses val="autoZero"/>
        <c:crossBetween val="between"/>
      </c:valAx>
      <c:spPr>
        <a:noFill/>
        <a:ln>
          <a:noFill/>
        </a:ln>
        <a:effectLst/>
      </c:spPr>
    </c:plotArea>
    <c:legend>
      <c:legendPos val="r"/>
      <c:layout>
        <c:manualLayout>
          <c:xMode val="edge"/>
          <c:yMode val="edge"/>
          <c:x val="0.85563908782758924"/>
          <c:y val="0.47915574868494137"/>
          <c:w val="0.11756024215566019"/>
          <c:h val="9.75110268892736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[ksa_financial_expense_analysis_dashboard.xlsx]Pivot_Tables!PivotTable5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City-wise Expense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Pivot_Tables!$J$15:$J$19</c:f>
              <c:strCache>
                <c:ptCount val="4"/>
                <c:pt idx="0">
                  <c:v>Dammam</c:v>
                </c:pt>
                <c:pt idx="1">
                  <c:v>Jeddah</c:v>
                </c:pt>
                <c:pt idx="2">
                  <c:v>Makkah</c:v>
                </c:pt>
                <c:pt idx="3">
                  <c:v>Riyadh</c:v>
                </c:pt>
              </c:strCache>
            </c:strRef>
          </c:cat>
          <c:val>
            <c:numRef>
              <c:f>Pivot_Tables!$K$15:$K$19</c:f>
              <c:numCache>
                <c:formatCode>[$SAR]\ #,##0.00</c:formatCode>
                <c:ptCount val="4"/>
                <c:pt idx="0">
                  <c:v>744063</c:v>
                </c:pt>
                <c:pt idx="1">
                  <c:v>875918</c:v>
                </c:pt>
                <c:pt idx="2">
                  <c:v>808906</c:v>
                </c:pt>
                <c:pt idx="3">
                  <c:v>644634</c:v>
                </c:pt>
              </c:numCache>
            </c:numRef>
          </c:val>
          <c:extLst>
            <c:ext xmlns:c16="http://schemas.microsoft.com/office/drawing/2014/chart" uri="{C3380CC4-5D6E-409C-BE32-E72D297353CC}">
              <c16:uniqueId val="{00000000-AABD-4A75-8C91-806ED51DD5FE}"/>
            </c:ext>
          </c:extLst>
        </c:ser>
        <c:dLbls>
          <c:dLblPos val="outEnd"/>
          <c:showLegendKey val="0"/>
          <c:showVal val="1"/>
          <c:showCatName val="0"/>
          <c:showSerName val="0"/>
          <c:showPercent val="0"/>
          <c:showBubbleSize val="0"/>
        </c:dLbls>
        <c:gapWidth val="219"/>
        <c:overlap val="-27"/>
        <c:axId val="1706875423"/>
        <c:axId val="1706877343"/>
      </c:barChart>
      <c:catAx>
        <c:axId val="17068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77343"/>
        <c:crosses val="autoZero"/>
        <c:auto val="1"/>
        <c:lblAlgn val="ctr"/>
        <c:lblOffset val="100"/>
        <c:noMultiLvlLbl val="0"/>
      </c:catAx>
      <c:valAx>
        <c:axId val="1706877343"/>
        <c:scaling>
          <c:orientation val="minMax"/>
        </c:scaling>
        <c:delete val="0"/>
        <c:axPos val="l"/>
        <c:majorGridlines>
          <c:spPr>
            <a:ln w="9525" cap="flat" cmpd="sng" algn="ctr">
              <a:solidFill>
                <a:schemeClr val="tx1">
                  <a:lumMod val="15000"/>
                  <a:lumOff val="85000"/>
                </a:schemeClr>
              </a:solidFill>
              <a:round/>
            </a:ln>
            <a:effectLst/>
          </c:spPr>
        </c:majorGridlines>
        <c:numFmt formatCode="[$SA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7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[ksa_financial_expense_analysis_dashboard.xlsx]Pivot_Tables!PivotTable6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Expense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Pivot_Tables!$G$13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6D-46E6-BF2C-F81C48D316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6D-46E6-BF2C-F81C48D316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6D-46E6-BF2C-F81C48D316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6D-46E6-BF2C-F81C48D316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6D-46E6-BF2C-F81C48D316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96D-46E6-BF2C-F81C48D316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Pivot_Tables!$F$14:$F$20</c:f>
              <c:strCache>
                <c:ptCount val="6"/>
                <c:pt idx="0">
                  <c:v>Maintenance</c:v>
                </c:pt>
                <c:pt idx="1">
                  <c:v>Marketing</c:v>
                </c:pt>
                <c:pt idx="2">
                  <c:v>Rent</c:v>
                </c:pt>
                <c:pt idx="3">
                  <c:v>Salaries</c:v>
                </c:pt>
                <c:pt idx="4">
                  <c:v>Transport</c:v>
                </c:pt>
                <c:pt idx="5">
                  <c:v>Utilities</c:v>
                </c:pt>
              </c:strCache>
            </c:strRef>
          </c:cat>
          <c:val>
            <c:numRef>
              <c:f>Pivot_Tables!$G$14:$G$20</c:f>
              <c:numCache>
                <c:formatCode>[$SAR]\ #,##0.00</c:formatCode>
                <c:ptCount val="6"/>
                <c:pt idx="0">
                  <c:v>479745</c:v>
                </c:pt>
                <c:pt idx="1">
                  <c:v>440262</c:v>
                </c:pt>
                <c:pt idx="2">
                  <c:v>712953</c:v>
                </c:pt>
                <c:pt idx="3">
                  <c:v>537653</c:v>
                </c:pt>
                <c:pt idx="4">
                  <c:v>492484</c:v>
                </c:pt>
                <c:pt idx="5">
                  <c:v>410424</c:v>
                </c:pt>
              </c:numCache>
            </c:numRef>
          </c:val>
          <c:extLst>
            <c:ext xmlns:c16="http://schemas.microsoft.com/office/drawing/2014/chart" uri="{C3380CC4-5D6E-409C-BE32-E72D297353CC}">
              <c16:uniqueId val="{0000000C-C96D-46E6-BF2C-F81C48D3167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[ksa_financial_expense_analysis_dashboard.xlsx]Pivot_Tables!PivotTable8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Trend</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Pivot_Tables!$K$5</c:f>
              <c:strCache>
                <c:ptCount val="1"/>
                <c:pt idx="0">
                  <c:v>Total</c:v>
                </c:pt>
              </c:strCache>
            </c:strRef>
          </c:tx>
          <c:spPr>
            <a:ln w="28575" cap="rnd">
              <a:solidFill>
                <a:schemeClr val="accent1"/>
              </a:solidFill>
              <a:round/>
            </a:ln>
            <a:effectLst/>
          </c:spPr>
          <c:marker>
            <c:symbol val="none"/>
          </c:marker>
          <c:dLbls>
            <c:spPr>
              <a:noFill/>
              <a:ln>
                <a:noFill/>
              </a:ln>
              <a:effectLst/>
            </c:spPr>
            <c:txPr>
              <a:bodyPr wrap="square" lIns="38100" tIns="19050" rIns="38100" bIns="19050" anchor="ctr">
                <a:spAutoFit/>
              </a:bodyPr>
              <a:lstStyle/>
              <a:p>
                <a:pPr>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Pivot_Tables!$J$6:$J$10</c:f>
              <c:strCache>
                <c:ptCount val="4"/>
                <c:pt idx="0">
                  <c:v>Jan</c:v>
                </c:pt>
                <c:pt idx="1">
                  <c:v>Feb</c:v>
                </c:pt>
                <c:pt idx="2">
                  <c:v>Mar</c:v>
                </c:pt>
                <c:pt idx="3">
                  <c:v>Apr</c:v>
                </c:pt>
              </c:strCache>
            </c:strRef>
          </c:cat>
          <c:val>
            <c:numRef>
              <c:f>Pivot_Tables!$K$6:$K$10</c:f>
              <c:numCache>
                <c:formatCode>[$SAR]\ #,##0.00</c:formatCode>
                <c:ptCount val="4"/>
                <c:pt idx="0">
                  <c:v>875584</c:v>
                </c:pt>
                <c:pt idx="1">
                  <c:v>580856</c:v>
                </c:pt>
                <c:pt idx="2">
                  <c:v>867208</c:v>
                </c:pt>
                <c:pt idx="3">
                  <c:v>749873</c:v>
                </c:pt>
              </c:numCache>
            </c:numRef>
          </c:val>
          <c:smooth val="0"/>
          <c:extLst>
            <c:ext xmlns:c16="http://schemas.microsoft.com/office/drawing/2014/chart" uri="{C3380CC4-5D6E-409C-BE32-E72D297353CC}">
              <c16:uniqueId val="{00000004-CCB9-46D4-B8B3-5AA67D2B0804}"/>
            </c:ext>
          </c:extLst>
        </c:ser>
        <c:dLbls>
          <c:dLblPos val="b"/>
          <c:showLegendKey val="0"/>
          <c:showVal val="1"/>
          <c:showCatName val="0"/>
          <c:showSerName val="0"/>
          <c:showPercent val="0"/>
          <c:showBubbleSize val="0"/>
        </c:dLbls>
        <c:smooth val="0"/>
        <c:axId val="1828333855"/>
        <c:axId val="1828333375"/>
      </c:lineChart>
      <c:catAx>
        <c:axId val="18283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33375"/>
        <c:crosses val="autoZero"/>
        <c:auto val="1"/>
        <c:lblAlgn val="ctr"/>
        <c:lblOffset val="100"/>
        <c:noMultiLvlLbl val="0"/>
      </c:catAx>
      <c:valAx>
        <c:axId val="1828333375"/>
        <c:scaling>
          <c:orientation val="minMax"/>
        </c:scaling>
        <c:delete val="0"/>
        <c:axPos val="l"/>
        <c:majorGridlines>
          <c:spPr>
            <a:ln w="9525" cap="flat" cmpd="sng" algn="ctr">
              <a:solidFill>
                <a:schemeClr val="tx1">
                  <a:lumMod val="15000"/>
                  <a:lumOff val="85000"/>
                </a:schemeClr>
              </a:solidFill>
              <a:round/>
            </a:ln>
            <a:effectLst/>
          </c:spPr>
        </c:majorGridlines>
        <c:numFmt formatCode="[$SA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3385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1085850</xdr:colOff>
      <xdr:row>4</xdr:row>
      <xdr:rowOff>9525</xdr:rowOff>
    </xdr:from>
    <xdr:to>
      <xdr:col>4</xdr:col>
      <xdr:colOff>76200</xdr:colOff>
      <xdr:row>5</xdr:row>
      <xdr:rowOff>171450</xdr:rowOff>
    </xdr:to>
    <xdr:sp macro="" textlink="">
      <xdr:nvSpPr>
        <xdr:cNvPr id="9" name="TextBox 8">
          <a:extLst>
            <a:ext uri="{FF2B5EF4-FFF2-40B4-BE49-F238E27FC236}">
              <a16:creationId xmlns:a16="http://schemas.microsoft.com/office/drawing/2014/main" id="{8F4FDECB-24D9-F521-62F0-CD5AFC807F28}"/>
            </a:ext>
          </a:extLst>
        </xdr:cNvPr>
        <xdr:cNvSpPr txBox="1"/>
      </xdr:nvSpPr>
      <xdr:spPr>
        <a:xfrm>
          <a:off x="2647950" y="771525"/>
          <a:ext cx="115252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Expenses</a:t>
          </a:r>
        </a:p>
      </xdr:txBody>
    </xdr:sp>
    <xdr:clientData/>
  </xdr:twoCellAnchor>
  <xdr:twoCellAnchor>
    <xdr:from>
      <xdr:col>2</xdr:col>
      <xdr:colOff>0</xdr:colOff>
      <xdr:row>10</xdr:row>
      <xdr:rowOff>1</xdr:rowOff>
    </xdr:from>
    <xdr:to>
      <xdr:col>4</xdr:col>
      <xdr:colOff>0</xdr:colOff>
      <xdr:row>12</xdr:row>
      <xdr:rowOff>1</xdr:rowOff>
    </xdr:to>
    <xdr:sp macro="" textlink="">
      <xdr:nvSpPr>
        <xdr:cNvPr id="10" name="TextBox 9">
          <a:extLst>
            <a:ext uri="{FF2B5EF4-FFF2-40B4-BE49-F238E27FC236}">
              <a16:creationId xmlns:a16="http://schemas.microsoft.com/office/drawing/2014/main" id="{96EE0A4A-F300-6BD6-70D0-0A8ABFB871C3}"/>
            </a:ext>
          </a:extLst>
        </xdr:cNvPr>
        <xdr:cNvSpPr txBox="1"/>
      </xdr:nvSpPr>
      <xdr:spPr>
        <a:xfrm>
          <a:off x="1562100" y="1905001"/>
          <a:ext cx="216217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Expenses by Department</a:t>
          </a:r>
        </a:p>
      </xdr:txBody>
    </xdr:sp>
    <xdr:clientData/>
  </xdr:twoCellAnchor>
  <xdr:twoCellAnchor>
    <xdr:from>
      <xdr:col>8</xdr:col>
      <xdr:colOff>895349</xdr:colOff>
      <xdr:row>10</xdr:row>
      <xdr:rowOff>180974</xdr:rowOff>
    </xdr:from>
    <xdr:to>
      <xdr:col>11</xdr:col>
      <xdr:colOff>9524</xdr:colOff>
      <xdr:row>12</xdr:row>
      <xdr:rowOff>152399</xdr:rowOff>
    </xdr:to>
    <xdr:sp macro="" textlink="">
      <xdr:nvSpPr>
        <xdr:cNvPr id="11" name="TextBox 10">
          <a:extLst>
            <a:ext uri="{FF2B5EF4-FFF2-40B4-BE49-F238E27FC236}">
              <a16:creationId xmlns:a16="http://schemas.microsoft.com/office/drawing/2014/main" id="{E46E4F20-CD30-FDC9-32B0-46C8B0950C69}"/>
            </a:ext>
          </a:extLst>
        </xdr:cNvPr>
        <xdr:cNvSpPr txBox="1"/>
      </xdr:nvSpPr>
      <xdr:spPr>
        <a:xfrm>
          <a:off x="8991599" y="2085974"/>
          <a:ext cx="18573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Expenses by City</a:t>
          </a:r>
        </a:p>
      </xdr:txBody>
    </xdr:sp>
    <xdr:clientData/>
  </xdr:twoCellAnchor>
  <xdr:twoCellAnchor>
    <xdr:from>
      <xdr:col>4</xdr:col>
      <xdr:colOff>238124</xdr:colOff>
      <xdr:row>9</xdr:row>
      <xdr:rowOff>142875</xdr:rowOff>
    </xdr:from>
    <xdr:to>
      <xdr:col>6</xdr:col>
      <xdr:colOff>1476374</xdr:colOff>
      <xdr:row>11</xdr:row>
      <xdr:rowOff>152400</xdr:rowOff>
    </xdr:to>
    <xdr:sp macro="" textlink="">
      <xdr:nvSpPr>
        <xdr:cNvPr id="12" name="TextBox 11">
          <a:extLst>
            <a:ext uri="{FF2B5EF4-FFF2-40B4-BE49-F238E27FC236}">
              <a16:creationId xmlns:a16="http://schemas.microsoft.com/office/drawing/2014/main" id="{B0666EB1-519A-84F3-CA91-215A11547B7F}"/>
            </a:ext>
          </a:extLst>
        </xdr:cNvPr>
        <xdr:cNvSpPr txBox="1"/>
      </xdr:nvSpPr>
      <xdr:spPr>
        <a:xfrm>
          <a:off x="4048124" y="1857375"/>
          <a:ext cx="254317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Expense Type Analysis</a:t>
          </a:r>
        </a:p>
      </xdr:txBody>
    </xdr:sp>
    <xdr:clientData/>
  </xdr:twoCellAnchor>
  <xdr:twoCellAnchor>
    <xdr:from>
      <xdr:col>5</xdr:col>
      <xdr:colOff>9524</xdr:colOff>
      <xdr:row>2</xdr:row>
      <xdr:rowOff>9525</xdr:rowOff>
    </xdr:from>
    <xdr:to>
      <xdr:col>8</xdr:col>
      <xdr:colOff>0</xdr:colOff>
      <xdr:row>3</xdr:row>
      <xdr:rowOff>180975</xdr:rowOff>
    </xdr:to>
    <xdr:sp macro="" textlink="">
      <xdr:nvSpPr>
        <xdr:cNvPr id="13" name="TextBox 12">
          <a:extLst>
            <a:ext uri="{FF2B5EF4-FFF2-40B4-BE49-F238E27FC236}">
              <a16:creationId xmlns:a16="http://schemas.microsoft.com/office/drawing/2014/main" id="{9EAFCFE2-01F0-4675-E126-0C5B56A92F80}"/>
            </a:ext>
          </a:extLst>
        </xdr:cNvPr>
        <xdr:cNvSpPr txBox="1"/>
      </xdr:nvSpPr>
      <xdr:spPr>
        <a:xfrm>
          <a:off x="4067174" y="390525"/>
          <a:ext cx="4029076"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Approval Analysis</a:t>
          </a:r>
        </a:p>
      </xdr:txBody>
    </xdr:sp>
    <xdr:clientData/>
  </xdr:twoCellAnchor>
  <xdr:twoCellAnchor>
    <xdr:from>
      <xdr:col>9</xdr:col>
      <xdr:colOff>9524</xdr:colOff>
      <xdr:row>2</xdr:row>
      <xdr:rowOff>9525</xdr:rowOff>
    </xdr:from>
    <xdr:to>
      <xdr:col>10</xdr:col>
      <xdr:colOff>1019175</xdr:colOff>
      <xdr:row>4</xdr:row>
      <xdr:rowOff>9525</xdr:rowOff>
    </xdr:to>
    <xdr:sp macro="" textlink="">
      <xdr:nvSpPr>
        <xdr:cNvPr id="14" name="TextBox 13">
          <a:extLst>
            <a:ext uri="{FF2B5EF4-FFF2-40B4-BE49-F238E27FC236}">
              <a16:creationId xmlns:a16="http://schemas.microsoft.com/office/drawing/2014/main" id="{7FA03CF0-6F69-54D3-93BC-5B309C568E16}"/>
            </a:ext>
          </a:extLst>
        </xdr:cNvPr>
        <xdr:cNvSpPr txBox="1"/>
      </xdr:nvSpPr>
      <xdr:spPr>
        <a:xfrm>
          <a:off x="9001124" y="390525"/>
          <a:ext cx="1828801"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Monthly Expense Trend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1257300</xdr:colOff>
      <xdr:row>0</xdr:row>
      <xdr:rowOff>66674</xdr:rowOff>
    </xdr:from>
    <xdr:to>
      <xdr:col>7</xdr:col>
      <xdr:colOff>523875</xdr:colOff>
      <xdr:row>13</xdr:row>
      <xdr:rowOff>57150</xdr:rowOff>
    </xdr:to>
    <xdr:graphicFrame macro="">
      <xdr:nvGraphicFramePr>
        <xdr:cNvPr id="6" name="Chart 5">
          <a:extLst>
            <a:ext uri="{FF2B5EF4-FFF2-40B4-BE49-F238E27FC236}">
              <a16:creationId xmlns:a16="http://schemas.microsoft.com/office/drawing/2014/main" id="{CBAEB953-D504-4833-90B6-FBD2EF71F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57150</xdr:rowOff>
    </xdr:from>
    <xdr:to>
      <xdr:col>14</xdr:col>
      <xdr:colOff>561975</xdr:colOff>
      <xdr:row>13</xdr:row>
      <xdr:rowOff>66675</xdr:rowOff>
    </xdr:to>
    <xdr:graphicFrame macro="">
      <xdr:nvGraphicFramePr>
        <xdr:cNvPr id="7" name="Chart 6">
          <a:extLst>
            <a:ext uri="{FF2B5EF4-FFF2-40B4-BE49-F238E27FC236}">
              <a16:creationId xmlns:a16="http://schemas.microsoft.com/office/drawing/2014/main" id="{1B147370-DBEC-430C-9798-AF0E695F7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1276351</xdr:colOff>
      <xdr:row>14</xdr:row>
      <xdr:rowOff>9525</xdr:rowOff>
    </xdr:from>
    <xdr:to>
      <xdr:col>7</xdr:col>
      <xdr:colOff>523875</xdr:colOff>
      <xdr:row>27</xdr:row>
      <xdr:rowOff>19050</xdr:rowOff>
    </xdr:to>
    <xdr:graphicFrame macro="">
      <xdr:nvGraphicFramePr>
        <xdr:cNvPr id="8" name="Chart 7">
          <a:extLst>
            <a:ext uri="{FF2B5EF4-FFF2-40B4-BE49-F238E27FC236}">
              <a16:creationId xmlns:a16="http://schemas.microsoft.com/office/drawing/2014/main" id="{977F32C8-2C7C-4D42-A871-D3CE4F0A7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14</xdr:row>
      <xdr:rowOff>0</xdr:rowOff>
    </xdr:from>
    <xdr:to>
      <xdr:col>14</xdr:col>
      <xdr:colOff>552450</xdr:colOff>
      <xdr:row>27</xdr:row>
      <xdr:rowOff>28575</xdr:rowOff>
    </xdr:to>
    <xdr:graphicFrame macro="">
      <xdr:nvGraphicFramePr>
        <xdr:cNvPr id="9" name="Chart 8">
          <a:extLst>
            <a:ext uri="{FF2B5EF4-FFF2-40B4-BE49-F238E27FC236}">
              <a16:creationId xmlns:a16="http://schemas.microsoft.com/office/drawing/2014/main" id="{EBCB8964-675D-465B-B805-11D892F71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85725</xdr:rowOff>
    </xdr:from>
    <xdr:to>
      <xdr:col>1</xdr:col>
      <xdr:colOff>1219200</xdr:colOff>
      <xdr:row>13</xdr:row>
      <xdr:rowOff>47625</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F2DE743C-B21D-8AB7-E469-F000B8CA95C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85725"/>
              <a:ext cx="182880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0</xdr:row>
      <xdr:rowOff>66675</xdr:rowOff>
    </xdr:from>
    <xdr:to>
      <xdr:col>18</xdr:col>
      <xdr:colOff>38100</xdr:colOff>
      <xdr:row>13</xdr:row>
      <xdr:rowOff>57150</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251FA8BB-66C6-2F7D-09E0-A7822E204A8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34650" y="6667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9525</xdr:rowOff>
    </xdr:from>
    <xdr:to>
      <xdr:col>1</xdr:col>
      <xdr:colOff>1219200</xdr:colOff>
      <xdr:row>27</xdr:row>
      <xdr:rowOff>19050</xdr:rowOff>
    </xdr:to>
    <mc:AlternateContent xmlns:mc="http://schemas.openxmlformats.org/markup-compatibility/2006" xmlns:a14="http://schemas.microsoft.com/office/drawing/2010/main">
      <mc:Choice Requires="a14">
        <xdr:graphicFrame macro="">
          <xdr:nvGraphicFramePr>
            <xdr:cNvPr id="16" name="Expense_Type">
              <a:extLst>
                <a:ext uri="{FF2B5EF4-FFF2-40B4-BE49-F238E27FC236}">
                  <a16:creationId xmlns:a16="http://schemas.microsoft.com/office/drawing/2014/main" id="{9E2FB5E9-72CF-92B1-12CE-CE5A1DA3D68A}"/>
                </a:ext>
              </a:extLst>
            </xdr:cNvPr>
            <xdr:cNvGraphicFramePr/>
          </xdr:nvGraphicFramePr>
          <xdr:xfrm>
            <a:off x="0" y="0"/>
            <a:ext cx="0" cy="0"/>
          </xdr:xfrm>
          <a:graphic>
            <a:graphicData uri="http://schemas.microsoft.com/office/drawing/2010/slicer">
              <sle:slicer xmlns:sle="http://schemas.microsoft.com/office/drawing/2010/slicer" name="Expense_Type"/>
            </a:graphicData>
          </a:graphic>
        </xdr:graphicFrame>
      </mc:Choice>
      <mc:Fallback xmlns="">
        <xdr:sp macro="" textlink="">
          <xdr:nvSpPr>
            <xdr:cNvPr id="0" name=""/>
            <xdr:cNvSpPr>
              <a:spLocks noTextEdit="1"/>
            </xdr:cNvSpPr>
          </xdr:nvSpPr>
          <xdr:spPr>
            <a:xfrm>
              <a:off x="0" y="2676525"/>
              <a:ext cx="1828800"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xdr:colOff>
      <xdr:row>13</xdr:row>
      <xdr:rowOff>180975</xdr:rowOff>
    </xdr:from>
    <xdr:to>
      <xdr:col>18</xdr:col>
      <xdr:colOff>28575</xdr:colOff>
      <xdr:row>27</xdr:row>
      <xdr:rowOff>9525</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571C467A-0F2F-790E-588D-5EF00A3E15F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25125" y="2657475"/>
              <a:ext cx="182880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BYTE COMPUTERS" refreshedDate="46118.928086342596" createdVersion="8" refreshedVersion="8" minRefreshableVersion="3" recordCount="300" xr:uid="{7E8C0ABF-A14C-45C8-8D70-281A185D660D}">
  <cacheSource type="worksheet">
    <worksheetSource ref="A1:K301" sheet="Cleaned_Data"/>
  </cacheSource>
  <cacheFields count="11">
    <cacheField name="Transaction_ID" numFmtId="0">
      <sharedItems containsSemiMixedTypes="0" containsString="0" containsNumber="1" containsInteger="1" minValue="5000" maxValue="5299"/>
    </cacheField>
    <cacheField name="Date" numFmtId="165">
      <sharedItems containsSemiMixedTypes="0" containsNonDate="0" containsDate="1" containsString="0" minDate="2025-01-01T00:00:00" maxDate="2025-05-01T00:00:00"/>
    </cacheField>
    <cacheField name="Month" numFmtId="165">
      <sharedItems count="4">
        <s v="Apr"/>
        <s v="Mar"/>
        <s v="Jan"/>
        <s v="Feb"/>
      </sharedItems>
    </cacheField>
    <cacheField name="Department" numFmtId="0">
      <sharedItems count="5">
        <s v="Operations"/>
        <s v="HR"/>
        <s v="Finance"/>
        <s v="IT"/>
        <s v="Sales"/>
      </sharedItems>
    </cacheField>
    <cacheField name="City" numFmtId="0">
      <sharedItems count="4">
        <s v="Jeddah"/>
        <s v="Makkah"/>
        <s v="Riyadh"/>
        <s v="Dammam"/>
      </sharedItems>
    </cacheField>
    <cacheField name="Expense_Type" numFmtId="0">
      <sharedItems count="6">
        <s v="Marketing"/>
        <s v="Transport"/>
        <s v="Salaries"/>
        <s v="Rent"/>
        <s v="Maintenance"/>
        <s v="Utilities"/>
      </sharedItems>
    </cacheField>
    <cacheField name="Expense_Category" numFmtId="0">
      <sharedItems/>
    </cacheField>
    <cacheField name="Amount" numFmtId="166">
      <sharedItems containsSemiMixedTypes="0" containsString="0" containsNumber="1" containsInteger="1" minValue="515" maxValue="19978"/>
    </cacheField>
    <cacheField name="Payment_Method" numFmtId="0">
      <sharedItems/>
    </cacheField>
    <cacheField name="Approved" numFmtId="0">
      <sharedItems count="2">
        <s v="Yes"/>
        <s v="No"/>
      </sharedItems>
    </cacheField>
    <cacheField name="Approval_Rat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2020459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5298"/>
    <d v="2025-04-20T00:00:00"/>
    <x v="0"/>
    <x v="0"/>
    <x v="0"/>
    <x v="0"/>
    <s v="Variable"/>
    <n v="19978"/>
    <s v="Cash"/>
    <x v="0"/>
    <x v="0"/>
  </r>
  <r>
    <n v="5012"/>
    <d v="2025-03-10T00:00:00"/>
    <x v="1"/>
    <x v="1"/>
    <x v="1"/>
    <x v="1"/>
    <s v="Variable"/>
    <n v="19933"/>
    <s v="Credit"/>
    <x v="0"/>
    <x v="0"/>
  </r>
  <r>
    <n v="5035"/>
    <d v="2025-03-09T00:00:00"/>
    <x v="1"/>
    <x v="2"/>
    <x v="2"/>
    <x v="2"/>
    <s v="Fixed"/>
    <n v="19931"/>
    <s v="Bank Transfer"/>
    <x v="0"/>
    <x v="0"/>
  </r>
  <r>
    <n v="5283"/>
    <d v="2025-03-12T00:00:00"/>
    <x v="1"/>
    <x v="1"/>
    <x v="3"/>
    <x v="2"/>
    <s v="Fixed"/>
    <n v="19920"/>
    <s v="Bank Transfer"/>
    <x v="0"/>
    <x v="0"/>
  </r>
  <r>
    <n v="5003"/>
    <d v="2025-01-06T00:00:00"/>
    <x v="2"/>
    <x v="3"/>
    <x v="0"/>
    <x v="2"/>
    <s v="Fixed"/>
    <n v="19779"/>
    <s v="Cash"/>
    <x v="1"/>
    <x v="1"/>
  </r>
  <r>
    <n v="5016"/>
    <d v="2025-03-05T00:00:00"/>
    <x v="1"/>
    <x v="1"/>
    <x v="0"/>
    <x v="1"/>
    <s v="Variable"/>
    <n v="19761"/>
    <s v="Cash"/>
    <x v="0"/>
    <x v="0"/>
  </r>
  <r>
    <n v="5270"/>
    <d v="2025-03-20T00:00:00"/>
    <x v="1"/>
    <x v="0"/>
    <x v="0"/>
    <x v="3"/>
    <s v="Variable"/>
    <n v="19737"/>
    <s v="Credit"/>
    <x v="1"/>
    <x v="1"/>
  </r>
  <r>
    <n v="5198"/>
    <d v="2025-02-16T00:00:00"/>
    <x v="3"/>
    <x v="2"/>
    <x v="0"/>
    <x v="1"/>
    <s v="Variable"/>
    <n v="19727"/>
    <s v="Cash"/>
    <x v="0"/>
    <x v="0"/>
  </r>
  <r>
    <n v="5222"/>
    <d v="2025-01-19T00:00:00"/>
    <x v="2"/>
    <x v="0"/>
    <x v="0"/>
    <x v="2"/>
    <s v="Fixed"/>
    <n v="19727"/>
    <s v="Credit"/>
    <x v="0"/>
    <x v="0"/>
  </r>
  <r>
    <n v="5146"/>
    <d v="2025-04-30T00:00:00"/>
    <x v="0"/>
    <x v="3"/>
    <x v="2"/>
    <x v="4"/>
    <s v="Variable"/>
    <n v="19716"/>
    <s v="Credit"/>
    <x v="0"/>
    <x v="0"/>
  </r>
  <r>
    <n v="5100"/>
    <d v="2025-04-12T00:00:00"/>
    <x v="0"/>
    <x v="4"/>
    <x v="1"/>
    <x v="4"/>
    <s v="Variable"/>
    <n v="19692"/>
    <s v="Bank Transfer"/>
    <x v="0"/>
    <x v="0"/>
  </r>
  <r>
    <n v="5189"/>
    <d v="2025-02-11T00:00:00"/>
    <x v="3"/>
    <x v="3"/>
    <x v="0"/>
    <x v="5"/>
    <s v="Variable"/>
    <n v="19690"/>
    <s v="Cash"/>
    <x v="1"/>
    <x v="1"/>
  </r>
  <r>
    <n v="5102"/>
    <d v="2025-04-02T00:00:00"/>
    <x v="0"/>
    <x v="2"/>
    <x v="3"/>
    <x v="5"/>
    <s v="Variable"/>
    <n v="19621"/>
    <s v="Credit"/>
    <x v="0"/>
    <x v="0"/>
  </r>
  <r>
    <n v="5077"/>
    <d v="2025-03-24T00:00:00"/>
    <x v="1"/>
    <x v="3"/>
    <x v="0"/>
    <x v="2"/>
    <s v="Fixed"/>
    <n v="19402"/>
    <s v="Cash"/>
    <x v="1"/>
    <x v="1"/>
  </r>
  <r>
    <n v="5008"/>
    <d v="2025-01-19T00:00:00"/>
    <x v="2"/>
    <x v="2"/>
    <x v="0"/>
    <x v="3"/>
    <s v="Variable"/>
    <n v="19400"/>
    <s v="Bank Transfer"/>
    <x v="0"/>
    <x v="0"/>
  </r>
  <r>
    <n v="5099"/>
    <d v="2025-03-13T00:00:00"/>
    <x v="1"/>
    <x v="4"/>
    <x v="3"/>
    <x v="5"/>
    <s v="Variable"/>
    <n v="19352"/>
    <s v="Bank Transfer"/>
    <x v="1"/>
    <x v="1"/>
  </r>
  <r>
    <n v="5182"/>
    <d v="2025-03-12T00:00:00"/>
    <x v="1"/>
    <x v="1"/>
    <x v="3"/>
    <x v="1"/>
    <s v="Variable"/>
    <n v="19162"/>
    <s v="Bank Transfer"/>
    <x v="0"/>
    <x v="0"/>
  </r>
  <r>
    <n v="5029"/>
    <d v="2025-03-06T00:00:00"/>
    <x v="1"/>
    <x v="2"/>
    <x v="0"/>
    <x v="2"/>
    <s v="Fixed"/>
    <n v="19128"/>
    <s v="Credit"/>
    <x v="1"/>
    <x v="1"/>
  </r>
  <r>
    <n v="5149"/>
    <d v="2025-04-22T00:00:00"/>
    <x v="0"/>
    <x v="3"/>
    <x v="2"/>
    <x v="1"/>
    <s v="Variable"/>
    <n v="19055"/>
    <s v="Credit"/>
    <x v="1"/>
    <x v="1"/>
  </r>
  <r>
    <n v="5175"/>
    <d v="2025-01-28T00:00:00"/>
    <x v="2"/>
    <x v="1"/>
    <x v="2"/>
    <x v="2"/>
    <s v="Fixed"/>
    <n v="18975"/>
    <s v="Credit"/>
    <x v="0"/>
    <x v="0"/>
  </r>
  <r>
    <n v="5165"/>
    <d v="2025-03-01T00:00:00"/>
    <x v="1"/>
    <x v="3"/>
    <x v="0"/>
    <x v="3"/>
    <s v="Variable"/>
    <n v="18880"/>
    <s v="Cash"/>
    <x v="1"/>
    <x v="1"/>
  </r>
  <r>
    <n v="5083"/>
    <d v="2025-04-29T00:00:00"/>
    <x v="0"/>
    <x v="4"/>
    <x v="3"/>
    <x v="3"/>
    <s v="Variable"/>
    <n v="18852"/>
    <s v="Bank Transfer"/>
    <x v="1"/>
    <x v="1"/>
  </r>
  <r>
    <n v="5213"/>
    <d v="2025-04-15T00:00:00"/>
    <x v="0"/>
    <x v="1"/>
    <x v="1"/>
    <x v="5"/>
    <s v="Variable"/>
    <n v="18687"/>
    <s v="Bank Transfer"/>
    <x v="1"/>
    <x v="1"/>
  </r>
  <r>
    <n v="5051"/>
    <d v="2025-03-19T00:00:00"/>
    <x v="1"/>
    <x v="2"/>
    <x v="2"/>
    <x v="4"/>
    <s v="Variable"/>
    <n v="18682"/>
    <s v="Credit"/>
    <x v="0"/>
    <x v="0"/>
  </r>
  <r>
    <n v="5052"/>
    <d v="2025-02-22T00:00:00"/>
    <x v="3"/>
    <x v="3"/>
    <x v="1"/>
    <x v="2"/>
    <s v="Fixed"/>
    <n v="18362"/>
    <s v="Credit"/>
    <x v="1"/>
    <x v="1"/>
  </r>
  <r>
    <n v="5127"/>
    <d v="2025-04-10T00:00:00"/>
    <x v="0"/>
    <x v="3"/>
    <x v="0"/>
    <x v="0"/>
    <s v="Variable"/>
    <n v="18339"/>
    <s v="Bank Transfer"/>
    <x v="0"/>
    <x v="0"/>
  </r>
  <r>
    <n v="5288"/>
    <d v="2025-02-24T00:00:00"/>
    <x v="3"/>
    <x v="3"/>
    <x v="1"/>
    <x v="3"/>
    <s v="Variable"/>
    <n v="18091"/>
    <s v="Cash"/>
    <x v="1"/>
    <x v="1"/>
  </r>
  <r>
    <n v="5139"/>
    <d v="2025-02-09T00:00:00"/>
    <x v="3"/>
    <x v="4"/>
    <x v="2"/>
    <x v="4"/>
    <s v="Variable"/>
    <n v="18071"/>
    <s v="Cash"/>
    <x v="0"/>
    <x v="0"/>
  </r>
  <r>
    <n v="5180"/>
    <d v="2025-03-06T00:00:00"/>
    <x v="1"/>
    <x v="3"/>
    <x v="3"/>
    <x v="5"/>
    <s v="Variable"/>
    <n v="18058"/>
    <s v="Bank Transfer"/>
    <x v="1"/>
    <x v="1"/>
  </r>
  <r>
    <n v="5115"/>
    <d v="2025-02-01T00:00:00"/>
    <x v="3"/>
    <x v="3"/>
    <x v="0"/>
    <x v="4"/>
    <s v="Variable"/>
    <n v="17936"/>
    <s v="Bank Transfer"/>
    <x v="0"/>
    <x v="0"/>
  </r>
  <r>
    <n v="5274"/>
    <d v="2025-02-16T00:00:00"/>
    <x v="3"/>
    <x v="0"/>
    <x v="1"/>
    <x v="2"/>
    <s v="Fixed"/>
    <n v="17917"/>
    <s v="Bank Transfer"/>
    <x v="1"/>
    <x v="1"/>
  </r>
  <r>
    <n v="5065"/>
    <d v="2025-03-23T00:00:00"/>
    <x v="1"/>
    <x v="2"/>
    <x v="1"/>
    <x v="3"/>
    <s v="Variable"/>
    <n v="17773"/>
    <s v="Credit"/>
    <x v="0"/>
    <x v="0"/>
  </r>
  <r>
    <n v="5109"/>
    <d v="2025-03-05T00:00:00"/>
    <x v="1"/>
    <x v="3"/>
    <x v="0"/>
    <x v="3"/>
    <s v="Variable"/>
    <n v="17727"/>
    <s v="Cash"/>
    <x v="0"/>
    <x v="0"/>
  </r>
  <r>
    <n v="5120"/>
    <d v="2025-02-11T00:00:00"/>
    <x v="3"/>
    <x v="0"/>
    <x v="0"/>
    <x v="1"/>
    <s v="Variable"/>
    <n v="17716"/>
    <s v="Cash"/>
    <x v="0"/>
    <x v="0"/>
  </r>
  <r>
    <n v="5225"/>
    <d v="2025-02-20T00:00:00"/>
    <x v="3"/>
    <x v="2"/>
    <x v="0"/>
    <x v="2"/>
    <s v="Fixed"/>
    <n v="17698"/>
    <s v="Bank Transfer"/>
    <x v="0"/>
    <x v="0"/>
  </r>
  <r>
    <n v="5039"/>
    <d v="2025-02-08T00:00:00"/>
    <x v="3"/>
    <x v="3"/>
    <x v="2"/>
    <x v="0"/>
    <s v="Variable"/>
    <n v="17532"/>
    <s v="Cash"/>
    <x v="0"/>
    <x v="0"/>
  </r>
  <r>
    <n v="5086"/>
    <d v="2025-04-25T00:00:00"/>
    <x v="0"/>
    <x v="0"/>
    <x v="3"/>
    <x v="4"/>
    <s v="Variable"/>
    <n v="17493"/>
    <s v="Bank Transfer"/>
    <x v="0"/>
    <x v="0"/>
  </r>
  <r>
    <n v="5119"/>
    <d v="2025-03-19T00:00:00"/>
    <x v="1"/>
    <x v="0"/>
    <x v="3"/>
    <x v="0"/>
    <s v="Variable"/>
    <n v="17475"/>
    <s v="Bank Transfer"/>
    <x v="1"/>
    <x v="1"/>
  </r>
  <r>
    <n v="5011"/>
    <d v="2025-01-30T00:00:00"/>
    <x v="2"/>
    <x v="3"/>
    <x v="3"/>
    <x v="3"/>
    <s v="Variable"/>
    <n v="17446"/>
    <s v="Cash"/>
    <x v="0"/>
    <x v="0"/>
  </r>
  <r>
    <n v="5020"/>
    <d v="2025-03-14T00:00:00"/>
    <x v="1"/>
    <x v="2"/>
    <x v="0"/>
    <x v="0"/>
    <s v="Variable"/>
    <n v="17426"/>
    <s v="Cash"/>
    <x v="1"/>
    <x v="1"/>
  </r>
  <r>
    <n v="5088"/>
    <d v="2025-01-11T00:00:00"/>
    <x v="2"/>
    <x v="2"/>
    <x v="1"/>
    <x v="1"/>
    <s v="Variable"/>
    <n v="17067"/>
    <s v="Bank Transfer"/>
    <x v="0"/>
    <x v="0"/>
  </r>
  <r>
    <n v="5070"/>
    <d v="2025-04-16T00:00:00"/>
    <x v="0"/>
    <x v="3"/>
    <x v="1"/>
    <x v="5"/>
    <s v="Variable"/>
    <n v="17036"/>
    <s v="Bank Transfer"/>
    <x v="0"/>
    <x v="0"/>
  </r>
  <r>
    <n v="5157"/>
    <d v="2025-01-15T00:00:00"/>
    <x v="2"/>
    <x v="0"/>
    <x v="3"/>
    <x v="0"/>
    <s v="Variable"/>
    <n v="17027"/>
    <s v="Bank Transfer"/>
    <x v="0"/>
    <x v="0"/>
  </r>
  <r>
    <n v="5192"/>
    <d v="2025-04-17T00:00:00"/>
    <x v="0"/>
    <x v="2"/>
    <x v="1"/>
    <x v="1"/>
    <s v="Variable"/>
    <n v="16989"/>
    <s v="Bank Transfer"/>
    <x v="1"/>
    <x v="1"/>
  </r>
  <r>
    <n v="5062"/>
    <d v="2025-03-24T00:00:00"/>
    <x v="1"/>
    <x v="3"/>
    <x v="2"/>
    <x v="1"/>
    <s v="Variable"/>
    <n v="16980"/>
    <s v="Credit"/>
    <x v="0"/>
    <x v="0"/>
  </r>
  <r>
    <n v="5050"/>
    <d v="2025-01-01T00:00:00"/>
    <x v="2"/>
    <x v="0"/>
    <x v="1"/>
    <x v="1"/>
    <s v="Variable"/>
    <n v="16876"/>
    <s v="Bank Transfer"/>
    <x v="1"/>
    <x v="1"/>
  </r>
  <r>
    <n v="5079"/>
    <d v="2025-03-13T00:00:00"/>
    <x v="1"/>
    <x v="3"/>
    <x v="1"/>
    <x v="5"/>
    <s v="Variable"/>
    <n v="16859"/>
    <s v="Bank Transfer"/>
    <x v="1"/>
    <x v="1"/>
  </r>
  <r>
    <n v="5005"/>
    <d v="2025-01-02T00:00:00"/>
    <x v="2"/>
    <x v="1"/>
    <x v="1"/>
    <x v="0"/>
    <s v="Variable"/>
    <n v="16832"/>
    <s v="Bank Transfer"/>
    <x v="0"/>
    <x v="0"/>
  </r>
  <r>
    <n v="5022"/>
    <d v="2025-03-12T00:00:00"/>
    <x v="1"/>
    <x v="1"/>
    <x v="3"/>
    <x v="3"/>
    <s v="Variable"/>
    <n v="16777"/>
    <s v="Credit"/>
    <x v="0"/>
    <x v="0"/>
  </r>
  <r>
    <n v="5064"/>
    <d v="2025-01-24T00:00:00"/>
    <x v="2"/>
    <x v="0"/>
    <x v="3"/>
    <x v="4"/>
    <s v="Variable"/>
    <n v="16752"/>
    <s v="Bank Transfer"/>
    <x v="0"/>
    <x v="0"/>
  </r>
  <r>
    <n v="5134"/>
    <d v="2025-03-21T00:00:00"/>
    <x v="1"/>
    <x v="2"/>
    <x v="1"/>
    <x v="0"/>
    <s v="Variable"/>
    <n v="16741"/>
    <s v="Cash"/>
    <x v="1"/>
    <x v="1"/>
  </r>
  <r>
    <n v="5236"/>
    <d v="2025-03-17T00:00:00"/>
    <x v="1"/>
    <x v="3"/>
    <x v="2"/>
    <x v="1"/>
    <s v="Variable"/>
    <n v="16709"/>
    <s v="Credit"/>
    <x v="1"/>
    <x v="1"/>
  </r>
  <r>
    <n v="5106"/>
    <d v="2025-04-17T00:00:00"/>
    <x v="0"/>
    <x v="3"/>
    <x v="3"/>
    <x v="0"/>
    <s v="Variable"/>
    <n v="16417"/>
    <s v="Credit"/>
    <x v="1"/>
    <x v="1"/>
  </r>
  <r>
    <n v="5259"/>
    <d v="2025-03-21T00:00:00"/>
    <x v="1"/>
    <x v="1"/>
    <x v="3"/>
    <x v="2"/>
    <s v="Fixed"/>
    <n v="16393"/>
    <s v="Cash"/>
    <x v="0"/>
    <x v="0"/>
  </r>
  <r>
    <n v="5265"/>
    <d v="2025-03-23T00:00:00"/>
    <x v="1"/>
    <x v="1"/>
    <x v="0"/>
    <x v="1"/>
    <s v="Variable"/>
    <n v="16370"/>
    <s v="Bank Transfer"/>
    <x v="0"/>
    <x v="0"/>
  </r>
  <r>
    <n v="5156"/>
    <d v="2025-03-13T00:00:00"/>
    <x v="1"/>
    <x v="3"/>
    <x v="2"/>
    <x v="2"/>
    <s v="Fixed"/>
    <n v="16368"/>
    <s v="Credit"/>
    <x v="1"/>
    <x v="1"/>
  </r>
  <r>
    <n v="5066"/>
    <d v="2025-01-25T00:00:00"/>
    <x v="2"/>
    <x v="2"/>
    <x v="2"/>
    <x v="1"/>
    <s v="Variable"/>
    <n v="16336"/>
    <s v="Cash"/>
    <x v="0"/>
    <x v="0"/>
  </r>
  <r>
    <n v="5255"/>
    <d v="2025-03-02T00:00:00"/>
    <x v="1"/>
    <x v="2"/>
    <x v="0"/>
    <x v="3"/>
    <s v="Variable"/>
    <n v="16287"/>
    <s v="Credit"/>
    <x v="0"/>
    <x v="0"/>
  </r>
  <r>
    <n v="5185"/>
    <d v="2025-01-14T00:00:00"/>
    <x v="2"/>
    <x v="4"/>
    <x v="3"/>
    <x v="3"/>
    <s v="Variable"/>
    <n v="16266"/>
    <s v="Bank Transfer"/>
    <x v="1"/>
    <x v="1"/>
  </r>
  <r>
    <n v="5068"/>
    <d v="2025-01-13T00:00:00"/>
    <x v="2"/>
    <x v="1"/>
    <x v="2"/>
    <x v="1"/>
    <s v="Variable"/>
    <n v="16053"/>
    <s v="Bank Transfer"/>
    <x v="1"/>
    <x v="1"/>
  </r>
  <r>
    <n v="5137"/>
    <d v="2025-04-09T00:00:00"/>
    <x v="0"/>
    <x v="1"/>
    <x v="1"/>
    <x v="4"/>
    <s v="Variable"/>
    <n v="16048"/>
    <s v="Credit"/>
    <x v="1"/>
    <x v="1"/>
  </r>
  <r>
    <n v="5272"/>
    <d v="2025-02-03T00:00:00"/>
    <x v="3"/>
    <x v="1"/>
    <x v="3"/>
    <x v="4"/>
    <s v="Variable"/>
    <n v="15937"/>
    <s v="Credit"/>
    <x v="0"/>
    <x v="0"/>
  </r>
  <r>
    <n v="5117"/>
    <d v="2025-04-20T00:00:00"/>
    <x v="0"/>
    <x v="1"/>
    <x v="0"/>
    <x v="0"/>
    <s v="Variable"/>
    <n v="15892"/>
    <s v="Bank Transfer"/>
    <x v="1"/>
    <x v="1"/>
  </r>
  <r>
    <n v="5155"/>
    <d v="2025-02-24T00:00:00"/>
    <x v="3"/>
    <x v="2"/>
    <x v="3"/>
    <x v="1"/>
    <s v="Variable"/>
    <n v="15811"/>
    <s v="Credit"/>
    <x v="1"/>
    <x v="1"/>
  </r>
  <r>
    <n v="5107"/>
    <d v="2025-03-09T00:00:00"/>
    <x v="1"/>
    <x v="3"/>
    <x v="1"/>
    <x v="3"/>
    <s v="Variable"/>
    <n v="15810"/>
    <s v="Cash"/>
    <x v="0"/>
    <x v="0"/>
  </r>
  <r>
    <n v="5258"/>
    <d v="2025-01-25T00:00:00"/>
    <x v="2"/>
    <x v="1"/>
    <x v="3"/>
    <x v="5"/>
    <s v="Variable"/>
    <n v="15794"/>
    <s v="Bank Transfer"/>
    <x v="1"/>
    <x v="1"/>
  </r>
  <r>
    <n v="5037"/>
    <d v="2025-01-28T00:00:00"/>
    <x v="2"/>
    <x v="0"/>
    <x v="0"/>
    <x v="3"/>
    <s v="Variable"/>
    <n v="15769"/>
    <s v="Credit"/>
    <x v="1"/>
    <x v="1"/>
  </r>
  <r>
    <n v="5096"/>
    <d v="2025-03-01T00:00:00"/>
    <x v="1"/>
    <x v="0"/>
    <x v="2"/>
    <x v="3"/>
    <s v="Variable"/>
    <n v="15747"/>
    <s v="Cash"/>
    <x v="0"/>
    <x v="0"/>
  </r>
  <r>
    <n v="5179"/>
    <d v="2025-01-31T00:00:00"/>
    <x v="2"/>
    <x v="2"/>
    <x v="1"/>
    <x v="4"/>
    <s v="Variable"/>
    <n v="15707"/>
    <s v="Bank Transfer"/>
    <x v="1"/>
    <x v="1"/>
  </r>
  <r>
    <n v="5190"/>
    <d v="2025-04-04T00:00:00"/>
    <x v="0"/>
    <x v="3"/>
    <x v="2"/>
    <x v="0"/>
    <s v="Variable"/>
    <n v="15592"/>
    <s v="Cash"/>
    <x v="0"/>
    <x v="0"/>
  </r>
  <r>
    <n v="5114"/>
    <d v="2025-01-29T00:00:00"/>
    <x v="2"/>
    <x v="2"/>
    <x v="3"/>
    <x v="3"/>
    <s v="Variable"/>
    <n v="15558"/>
    <s v="Bank Transfer"/>
    <x v="0"/>
    <x v="0"/>
  </r>
  <r>
    <n v="5078"/>
    <d v="2025-03-12T00:00:00"/>
    <x v="1"/>
    <x v="4"/>
    <x v="3"/>
    <x v="4"/>
    <s v="Variable"/>
    <n v="15542"/>
    <s v="Cash"/>
    <x v="0"/>
    <x v="0"/>
  </r>
  <r>
    <n v="5076"/>
    <d v="2025-04-07T00:00:00"/>
    <x v="0"/>
    <x v="3"/>
    <x v="2"/>
    <x v="5"/>
    <s v="Variable"/>
    <n v="15325"/>
    <s v="Credit"/>
    <x v="0"/>
    <x v="0"/>
  </r>
  <r>
    <n v="5162"/>
    <d v="2025-01-23T00:00:00"/>
    <x v="2"/>
    <x v="4"/>
    <x v="0"/>
    <x v="0"/>
    <s v="Variable"/>
    <n v="15311"/>
    <s v="Credit"/>
    <x v="0"/>
    <x v="0"/>
  </r>
  <r>
    <n v="5289"/>
    <d v="2025-04-14T00:00:00"/>
    <x v="0"/>
    <x v="4"/>
    <x v="3"/>
    <x v="3"/>
    <s v="Variable"/>
    <n v="15182"/>
    <s v="Cash"/>
    <x v="1"/>
    <x v="1"/>
  </r>
  <r>
    <n v="5235"/>
    <d v="2025-01-29T00:00:00"/>
    <x v="2"/>
    <x v="1"/>
    <x v="1"/>
    <x v="2"/>
    <s v="Fixed"/>
    <n v="14813"/>
    <s v="Cash"/>
    <x v="0"/>
    <x v="0"/>
  </r>
  <r>
    <n v="5074"/>
    <d v="2025-04-14T00:00:00"/>
    <x v="0"/>
    <x v="0"/>
    <x v="2"/>
    <x v="3"/>
    <s v="Variable"/>
    <n v="14678"/>
    <s v="Bank Transfer"/>
    <x v="1"/>
    <x v="1"/>
  </r>
  <r>
    <n v="5140"/>
    <d v="2025-03-23T00:00:00"/>
    <x v="1"/>
    <x v="3"/>
    <x v="0"/>
    <x v="3"/>
    <s v="Variable"/>
    <n v="14618"/>
    <s v="Bank Transfer"/>
    <x v="0"/>
    <x v="0"/>
  </r>
  <r>
    <n v="5034"/>
    <d v="2025-01-23T00:00:00"/>
    <x v="2"/>
    <x v="4"/>
    <x v="2"/>
    <x v="3"/>
    <s v="Variable"/>
    <n v="14589"/>
    <s v="Cash"/>
    <x v="1"/>
    <x v="1"/>
  </r>
  <r>
    <n v="5147"/>
    <d v="2025-01-20T00:00:00"/>
    <x v="2"/>
    <x v="4"/>
    <x v="1"/>
    <x v="4"/>
    <s v="Variable"/>
    <n v="14589"/>
    <s v="Credit"/>
    <x v="0"/>
    <x v="0"/>
  </r>
  <r>
    <n v="5181"/>
    <d v="2025-04-09T00:00:00"/>
    <x v="0"/>
    <x v="2"/>
    <x v="1"/>
    <x v="2"/>
    <s v="Fixed"/>
    <n v="14455"/>
    <s v="Cash"/>
    <x v="0"/>
    <x v="0"/>
  </r>
  <r>
    <n v="5254"/>
    <d v="2025-04-06T00:00:00"/>
    <x v="0"/>
    <x v="0"/>
    <x v="0"/>
    <x v="2"/>
    <s v="Fixed"/>
    <n v="14420"/>
    <s v="Credit"/>
    <x v="1"/>
    <x v="1"/>
  </r>
  <r>
    <n v="5031"/>
    <d v="2025-04-09T00:00:00"/>
    <x v="0"/>
    <x v="0"/>
    <x v="2"/>
    <x v="3"/>
    <s v="Variable"/>
    <n v="14283"/>
    <s v="Credit"/>
    <x v="1"/>
    <x v="1"/>
  </r>
  <r>
    <n v="5201"/>
    <d v="2025-01-14T00:00:00"/>
    <x v="2"/>
    <x v="1"/>
    <x v="0"/>
    <x v="3"/>
    <s v="Variable"/>
    <n v="14237"/>
    <s v="Bank Transfer"/>
    <x v="0"/>
    <x v="0"/>
  </r>
  <r>
    <n v="5230"/>
    <d v="2025-01-31T00:00:00"/>
    <x v="2"/>
    <x v="4"/>
    <x v="0"/>
    <x v="3"/>
    <s v="Variable"/>
    <n v="14219"/>
    <s v="Bank Transfer"/>
    <x v="0"/>
    <x v="0"/>
  </r>
  <r>
    <n v="5081"/>
    <d v="2025-01-06T00:00:00"/>
    <x v="2"/>
    <x v="2"/>
    <x v="3"/>
    <x v="3"/>
    <s v="Variable"/>
    <n v="14213"/>
    <s v="Bank Transfer"/>
    <x v="1"/>
    <x v="1"/>
  </r>
  <r>
    <n v="5021"/>
    <d v="2025-03-13T00:00:00"/>
    <x v="1"/>
    <x v="4"/>
    <x v="1"/>
    <x v="3"/>
    <s v="Variable"/>
    <n v="14199"/>
    <s v="Bank Transfer"/>
    <x v="0"/>
    <x v="0"/>
  </r>
  <r>
    <n v="5048"/>
    <d v="2025-03-07T00:00:00"/>
    <x v="1"/>
    <x v="4"/>
    <x v="0"/>
    <x v="3"/>
    <s v="Variable"/>
    <n v="14181"/>
    <s v="Bank Transfer"/>
    <x v="1"/>
    <x v="1"/>
  </r>
  <r>
    <n v="5145"/>
    <d v="2025-03-04T00:00:00"/>
    <x v="1"/>
    <x v="4"/>
    <x v="0"/>
    <x v="4"/>
    <s v="Variable"/>
    <n v="14154"/>
    <s v="Cash"/>
    <x v="0"/>
    <x v="0"/>
  </r>
  <r>
    <n v="5212"/>
    <d v="2025-02-07T00:00:00"/>
    <x v="3"/>
    <x v="4"/>
    <x v="0"/>
    <x v="0"/>
    <s v="Variable"/>
    <n v="14049"/>
    <s v="Cash"/>
    <x v="0"/>
    <x v="0"/>
  </r>
  <r>
    <n v="5116"/>
    <d v="2025-04-05T00:00:00"/>
    <x v="0"/>
    <x v="2"/>
    <x v="1"/>
    <x v="5"/>
    <s v="Variable"/>
    <n v="13948"/>
    <s v="Bank Transfer"/>
    <x v="0"/>
    <x v="0"/>
  </r>
  <r>
    <n v="5249"/>
    <d v="2025-01-13T00:00:00"/>
    <x v="2"/>
    <x v="3"/>
    <x v="1"/>
    <x v="4"/>
    <s v="Variable"/>
    <n v="13942"/>
    <s v="Cash"/>
    <x v="0"/>
    <x v="0"/>
  </r>
  <r>
    <n v="5097"/>
    <d v="2025-01-25T00:00:00"/>
    <x v="2"/>
    <x v="2"/>
    <x v="2"/>
    <x v="4"/>
    <s v="Variable"/>
    <n v="13807"/>
    <s v="Cash"/>
    <x v="0"/>
    <x v="0"/>
  </r>
  <r>
    <n v="5060"/>
    <d v="2025-02-15T00:00:00"/>
    <x v="3"/>
    <x v="1"/>
    <x v="3"/>
    <x v="5"/>
    <s v="Variable"/>
    <n v="13752"/>
    <s v="Credit"/>
    <x v="1"/>
    <x v="1"/>
  </r>
  <r>
    <n v="5110"/>
    <d v="2025-02-05T00:00:00"/>
    <x v="3"/>
    <x v="2"/>
    <x v="2"/>
    <x v="2"/>
    <s v="Fixed"/>
    <n v="13737"/>
    <s v="Credit"/>
    <x v="1"/>
    <x v="1"/>
  </r>
  <r>
    <n v="5133"/>
    <d v="2025-04-14T00:00:00"/>
    <x v="0"/>
    <x v="2"/>
    <x v="1"/>
    <x v="5"/>
    <s v="Variable"/>
    <n v="13689"/>
    <s v="Bank Transfer"/>
    <x v="0"/>
    <x v="0"/>
  </r>
  <r>
    <n v="5172"/>
    <d v="2025-02-13T00:00:00"/>
    <x v="3"/>
    <x v="0"/>
    <x v="1"/>
    <x v="0"/>
    <s v="Variable"/>
    <n v="13484"/>
    <s v="Bank Transfer"/>
    <x v="1"/>
    <x v="1"/>
  </r>
  <r>
    <n v="5132"/>
    <d v="2025-04-12T00:00:00"/>
    <x v="0"/>
    <x v="2"/>
    <x v="3"/>
    <x v="4"/>
    <s v="Variable"/>
    <n v="13475"/>
    <s v="Bank Transfer"/>
    <x v="1"/>
    <x v="1"/>
  </r>
  <r>
    <n v="5197"/>
    <d v="2025-02-06T00:00:00"/>
    <x v="3"/>
    <x v="4"/>
    <x v="3"/>
    <x v="1"/>
    <s v="Variable"/>
    <n v="13409"/>
    <s v="Bank Transfer"/>
    <x v="1"/>
    <x v="1"/>
  </r>
  <r>
    <n v="5057"/>
    <d v="2025-02-13T00:00:00"/>
    <x v="3"/>
    <x v="4"/>
    <x v="1"/>
    <x v="3"/>
    <s v="Variable"/>
    <n v="13320"/>
    <s v="Cash"/>
    <x v="0"/>
    <x v="0"/>
  </r>
  <r>
    <n v="5234"/>
    <d v="2025-02-03T00:00:00"/>
    <x v="3"/>
    <x v="2"/>
    <x v="0"/>
    <x v="3"/>
    <s v="Variable"/>
    <n v="13310"/>
    <s v="Credit"/>
    <x v="0"/>
    <x v="0"/>
  </r>
  <r>
    <n v="5007"/>
    <d v="2025-01-07T00:00:00"/>
    <x v="2"/>
    <x v="3"/>
    <x v="1"/>
    <x v="1"/>
    <s v="Variable"/>
    <n v="13145"/>
    <s v="Bank Transfer"/>
    <x v="1"/>
    <x v="1"/>
  </r>
  <r>
    <n v="5251"/>
    <d v="2025-03-03T00:00:00"/>
    <x v="1"/>
    <x v="2"/>
    <x v="1"/>
    <x v="1"/>
    <s v="Variable"/>
    <n v="13144"/>
    <s v="Cash"/>
    <x v="1"/>
    <x v="1"/>
  </r>
  <r>
    <n v="5129"/>
    <d v="2025-04-26T00:00:00"/>
    <x v="0"/>
    <x v="0"/>
    <x v="2"/>
    <x v="1"/>
    <s v="Variable"/>
    <n v="13078"/>
    <s v="Bank Transfer"/>
    <x v="0"/>
    <x v="0"/>
  </r>
  <r>
    <n v="5294"/>
    <d v="2025-03-18T00:00:00"/>
    <x v="1"/>
    <x v="4"/>
    <x v="2"/>
    <x v="1"/>
    <s v="Variable"/>
    <n v="12967"/>
    <s v="Credit"/>
    <x v="0"/>
    <x v="0"/>
  </r>
  <r>
    <n v="5264"/>
    <d v="2025-02-18T00:00:00"/>
    <x v="3"/>
    <x v="4"/>
    <x v="2"/>
    <x v="2"/>
    <s v="Fixed"/>
    <n v="12910"/>
    <s v="Credit"/>
    <x v="1"/>
    <x v="1"/>
  </r>
  <r>
    <n v="5101"/>
    <d v="2025-01-22T00:00:00"/>
    <x v="2"/>
    <x v="2"/>
    <x v="3"/>
    <x v="3"/>
    <s v="Variable"/>
    <n v="12865"/>
    <s v="Credit"/>
    <x v="1"/>
    <x v="1"/>
  </r>
  <r>
    <n v="5154"/>
    <d v="2025-03-22T00:00:00"/>
    <x v="1"/>
    <x v="4"/>
    <x v="2"/>
    <x v="2"/>
    <s v="Fixed"/>
    <n v="12706"/>
    <s v="Cash"/>
    <x v="1"/>
    <x v="1"/>
  </r>
  <r>
    <n v="5217"/>
    <d v="2025-03-17T00:00:00"/>
    <x v="1"/>
    <x v="2"/>
    <x v="1"/>
    <x v="2"/>
    <s v="Fixed"/>
    <n v="12695"/>
    <s v="Bank Transfer"/>
    <x v="1"/>
    <x v="1"/>
  </r>
  <r>
    <n v="5284"/>
    <d v="2025-02-22T00:00:00"/>
    <x v="3"/>
    <x v="1"/>
    <x v="1"/>
    <x v="3"/>
    <s v="Variable"/>
    <n v="12692"/>
    <s v="Credit"/>
    <x v="1"/>
    <x v="1"/>
  </r>
  <r>
    <n v="5105"/>
    <d v="2025-02-15T00:00:00"/>
    <x v="3"/>
    <x v="1"/>
    <x v="2"/>
    <x v="0"/>
    <s v="Variable"/>
    <n v="12688"/>
    <s v="Credit"/>
    <x v="1"/>
    <x v="1"/>
  </r>
  <r>
    <n v="5210"/>
    <d v="2025-02-28T00:00:00"/>
    <x v="3"/>
    <x v="0"/>
    <x v="3"/>
    <x v="1"/>
    <s v="Variable"/>
    <n v="12659"/>
    <s v="Credit"/>
    <x v="1"/>
    <x v="1"/>
  </r>
  <r>
    <n v="5040"/>
    <d v="2025-02-02T00:00:00"/>
    <x v="3"/>
    <x v="2"/>
    <x v="3"/>
    <x v="5"/>
    <s v="Variable"/>
    <n v="12542"/>
    <s v="Credit"/>
    <x v="0"/>
    <x v="0"/>
  </r>
  <r>
    <n v="5061"/>
    <d v="2025-02-27T00:00:00"/>
    <x v="3"/>
    <x v="1"/>
    <x v="1"/>
    <x v="3"/>
    <s v="Variable"/>
    <n v="12516"/>
    <s v="Bank Transfer"/>
    <x v="0"/>
    <x v="0"/>
  </r>
  <r>
    <n v="5136"/>
    <d v="2025-02-12T00:00:00"/>
    <x v="3"/>
    <x v="1"/>
    <x v="3"/>
    <x v="1"/>
    <s v="Variable"/>
    <n v="12492"/>
    <s v="Cash"/>
    <x v="1"/>
    <x v="1"/>
  </r>
  <r>
    <n v="5158"/>
    <d v="2025-01-26T00:00:00"/>
    <x v="2"/>
    <x v="3"/>
    <x v="0"/>
    <x v="0"/>
    <s v="Variable"/>
    <n v="12488"/>
    <s v="Bank Transfer"/>
    <x v="0"/>
    <x v="0"/>
  </r>
  <r>
    <n v="5131"/>
    <d v="2025-03-09T00:00:00"/>
    <x v="1"/>
    <x v="1"/>
    <x v="1"/>
    <x v="2"/>
    <s v="Fixed"/>
    <n v="12487"/>
    <s v="Bank Transfer"/>
    <x v="1"/>
    <x v="1"/>
  </r>
  <r>
    <n v="5228"/>
    <d v="2025-03-03T00:00:00"/>
    <x v="1"/>
    <x v="2"/>
    <x v="1"/>
    <x v="5"/>
    <s v="Variable"/>
    <n v="12306"/>
    <s v="Credit"/>
    <x v="1"/>
    <x v="1"/>
  </r>
  <r>
    <n v="5187"/>
    <d v="2025-04-03T00:00:00"/>
    <x v="0"/>
    <x v="3"/>
    <x v="0"/>
    <x v="0"/>
    <s v="Variable"/>
    <n v="12254"/>
    <s v="Credit"/>
    <x v="0"/>
    <x v="0"/>
  </r>
  <r>
    <n v="5013"/>
    <d v="2025-04-24T00:00:00"/>
    <x v="0"/>
    <x v="4"/>
    <x v="2"/>
    <x v="3"/>
    <s v="Variable"/>
    <n v="12242"/>
    <s v="Cash"/>
    <x v="1"/>
    <x v="1"/>
  </r>
  <r>
    <n v="5224"/>
    <d v="2025-04-05T00:00:00"/>
    <x v="0"/>
    <x v="4"/>
    <x v="2"/>
    <x v="4"/>
    <s v="Variable"/>
    <n v="12141"/>
    <s v="Cash"/>
    <x v="1"/>
    <x v="1"/>
  </r>
  <r>
    <n v="5030"/>
    <d v="2025-01-26T00:00:00"/>
    <x v="2"/>
    <x v="0"/>
    <x v="3"/>
    <x v="2"/>
    <s v="Fixed"/>
    <n v="12131"/>
    <s v="Bank Transfer"/>
    <x v="0"/>
    <x v="0"/>
  </r>
  <r>
    <n v="5150"/>
    <d v="2025-03-10T00:00:00"/>
    <x v="1"/>
    <x v="1"/>
    <x v="2"/>
    <x v="2"/>
    <s v="Fixed"/>
    <n v="12034"/>
    <s v="Cash"/>
    <x v="1"/>
    <x v="1"/>
  </r>
  <r>
    <n v="5170"/>
    <d v="2025-04-23T00:00:00"/>
    <x v="0"/>
    <x v="1"/>
    <x v="0"/>
    <x v="5"/>
    <s v="Variable"/>
    <n v="12017"/>
    <s v="Credit"/>
    <x v="0"/>
    <x v="0"/>
  </r>
  <r>
    <n v="5093"/>
    <d v="2025-01-14T00:00:00"/>
    <x v="2"/>
    <x v="1"/>
    <x v="3"/>
    <x v="3"/>
    <s v="Variable"/>
    <n v="11976"/>
    <s v="Credit"/>
    <x v="0"/>
    <x v="0"/>
  </r>
  <r>
    <n v="5297"/>
    <d v="2025-03-18T00:00:00"/>
    <x v="1"/>
    <x v="3"/>
    <x v="1"/>
    <x v="2"/>
    <s v="Fixed"/>
    <n v="11880"/>
    <s v="Bank Transfer"/>
    <x v="0"/>
    <x v="0"/>
  </r>
  <r>
    <n v="5161"/>
    <d v="2025-02-14T00:00:00"/>
    <x v="3"/>
    <x v="4"/>
    <x v="0"/>
    <x v="4"/>
    <s v="Variable"/>
    <n v="11801"/>
    <s v="Credit"/>
    <x v="1"/>
    <x v="1"/>
  </r>
  <r>
    <n v="5063"/>
    <d v="2025-01-14T00:00:00"/>
    <x v="2"/>
    <x v="4"/>
    <x v="1"/>
    <x v="5"/>
    <s v="Variable"/>
    <n v="11774"/>
    <s v="Cash"/>
    <x v="0"/>
    <x v="0"/>
  </r>
  <r>
    <n v="5293"/>
    <d v="2025-03-25T00:00:00"/>
    <x v="1"/>
    <x v="2"/>
    <x v="1"/>
    <x v="5"/>
    <s v="Variable"/>
    <n v="11668"/>
    <s v="Credit"/>
    <x v="1"/>
    <x v="1"/>
  </r>
  <r>
    <n v="5287"/>
    <d v="2025-02-09T00:00:00"/>
    <x v="3"/>
    <x v="1"/>
    <x v="2"/>
    <x v="4"/>
    <s v="Variable"/>
    <n v="11536"/>
    <s v="Cash"/>
    <x v="1"/>
    <x v="1"/>
  </r>
  <r>
    <n v="5024"/>
    <d v="2025-01-04T00:00:00"/>
    <x v="2"/>
    <x v="2"/>
    <x v="2"/>
    <x v="1"/>
    <s v="Variable"/>
    <n v="11532"/>
    <s v="Cash"/>
    <x v="0"/>
    <x v="0"/>
  </r>
  <r>
    <n v="5244"/>
    <d v="2025-01-26T00:00:00"/>
    <x v="2"/>
    <x v="0"/>
    <x v="3"/>
    <x v="1"/>
    <s v="Variable"/>
    <n v="11524"/>
    <s v="Bank Transfer"/>
    <x v="1"/>
    <x v="1"/>
  </r>
  <r>
    <n v="5006"/>
    <d v="2025-03-13T00:00:00"/>
    <x v="1"/>
    <x v="4"/>
    <x v="0"/>
    <x v="3"/>
    <s v="Variable"/>
    <n v="11489"/>
    <s v="Cash"/>
    <x v="1"/>
    <x v="1"/>
  </r>
  <r>
    <n v="5226"/>
    <d v="2025-01-08T00:00:00"/>
    <x v="2"/>
    <x v="3"/>
    <x v="0"/>
    <x v="3"/>
    <s v="Variable"/>
    <n v="11483"/>
    <s v="Credit"/>
    <x v="1"/>
    <x v="1"/>
  </r>
  <r>
    <n v="5262"/>
    <d v="2025-03-09T00:00:00"/>
    <x v="1"/>
    <x v="0"/>
    <x v="2"/>
    <x v="3"/>
    <s v="Variable"/>
    <n v="11462"/>
    <s v="Credit"/>
    <x v="1"/>
    <x v="1"/>
  </r>
  <r>
    <n v="5002"/>
    <d v="2025-01-10T00:00:00"/>
    <x v="2"/>
    <x v="3"/>
    <x v="1"/>
    <x v="3"/>
    <s v="Variable"/>
    <n v="11455"/>
    <s v="Bank Transfer"/>
    <x v="1"/>
    <x v="1"/>
  </r>
  <r>
    <n v="5125"/>
    <d v="2025-04-02T00:00:00"/>
    <x v="0"/>
    <x v="4"/>
    <x v="3"/>
    <x v="0"/>
    <s v="Variable"/>
    <n v="11406"/>
    <s v="Credit"/>
    <x v="1"/>
    <x v="1"/>
  </r>
  <r>
    <n v="5111"/>
    <d v="2025-04-04T00:00:00"/>
    <x v="0"/>
    <x v="2"/>
    <x v="2"/>
    <x v="3"/>
    <s v="Variable"/>
    <n v="11382"/>
    <s v="Credit"/>
    <x v="1"/>
    <x v="1"/>
  </r>
  <r>
    <n v="5038"/>
    <d v="2025-02-27T00:00:00"/>
    <x v="3"/>
    <x v="2"/>
    <x v="0"/>
    <x v="0"/>
    <s v="Variable"/>
    <n v="11335"/>
    <s v="Bank Transfer"/>
    <x v="1"/>
    <x v="1"/>
  </r>
  <r>
    <n v="5295"/>
    <d v="2025-04-07T00:00:00"/>
    <x v="0"/>
    <x v="1"/>
    <x v="2"/>
    <x v="0"/>
    <s v="Variable"/>
    <n v="11282"/>
    <s v="Credit"/>
    <x v="1"/>
    <x v="1"/>
  </r>
  <r>
    <n v="5128"/>
    <d v="2025-04-21T00:00:00"/>
    <x v="0"/>
    <x v="1"/>
    <x v="0"/>
    <x v="2"/>
    <s v="Fixed"/>
    <n v="11184"/>
    <s v="Credit"/>
    <x v="1"/>
    <x v="1"/>
  </r>
  <r>
    <n v="5171"/>
    <d v="2025-03-11T00:00:00"/>
    <x v="1"/>
    <x v="4"/>
    <x v="3"/>
    <x v="3"/>
    <s v="Variable"/>
    <n v="11157"/>
    <s v="Bank Transfer"/>
    <x v="0"/>
    <x v="0"/>
  </r>
  <r>
    <n v="5067"/>
    <d v="2025-01-21T00:00:00"/>
    <x v="2"/>
    <x v="3"/>
    <x v="3"/>
    <x v="3"/>
    <s v="Variable"/>
    <n v="11156"/>
    <s v="Credit"/>
    <x v="1"/>
    <x v="1"/>
  </r>
  <r>
    <n v="5135"/>
    <d v="2025-03-29T00:00:00"/>
    <x v="1"/>
    <x v="1"/>
    <x v="0"/>
    <x v="4"/>
    <s v="Variable"/>
    <n v="11156"/>
    <s v="Cash"/>
    <x v="0"/>
    <x v="0"/>
  </r>
  <r>
    <n v="5176"/>
    <d v="2025-01-02T00:00:00"/>
    <x v="2"/>
    <x v="0"/>
    <x v="0"/>
    <x v="2"/>
    <s v="Fixed"/>
    <n v="11078"/>
    <s v="Credit"/>
    <x v="0"/>
    <x v="0"/>
  </r>
  <r>
    <n v="5256"/>
    <d v="2025-04-19T00:00:00"/>
    <x v="0"/>
    <x v="1"/>
    <x v="3"/>
    <x v="3"/>
    <s v="Variable"/>
    <n v="11027"/>
    <s v="Cash"/>
    <x v="1"/>
    <x v="1"/>
  </r>
  <r>
    <n v="5267"/>
    <d v="2025-04-13T00:00:00"/>
    <x v="0"/>
    <x v="0"/>
    <x v="1"/>
    <x v="4"/>
    <s v="Variable"/>
    <n v="10959"/>
    <s v="Credit"/>
    <x v="1"/>
    <x v="1"/>
  </r>
  <r>
    <n v="5286"/>
    <d v="2025-01-19T00:00:00"/>
    <x v="2"/>
    <x v="4"/>
    <x v="1"/>
    <x v="2"/>
    <s v="Fixed"/>
    <n v="10897"/>
    <s v="Cash"/>
    <x v="1"/>
    <x v="1"/>
  </r>
  <r>
    <n v="5196"/>
    <d v="2025-01-03T00:00:00"/>
    <x v="2"/>
    <x v="4"/>
    <x v="0"/>
    <x v="3"/>
    <s v="Variable"/>
    <n v="10833"/>
    <s v="Credit"/>
    <x v="1"/>
    <x v="1"/>
  </r>
  <r>
    <n v="5153"/>
    <d v="2025-01-04T00:00:00"/>
    <x v="2"/>
    <x v="1"/>
    <x v="0"/>
    <x v="3"/>
    <s v="Variable"/>
    <n v="10572"/>
    <s v="Cash"/>
    <x v="0"/>
    <x v="0"/>
  </r>
  <r>
    <n v="5059"/>
    <d v="2025-04-14T00:00:00"/>
    <x v="0"/>
    <x v="2"/>
    <x v="1"/>
    <x v="2"/>
    <s v="Fixed"/>
    <n v="10491"/>
    <s v="Cash"/>
    <x v="1"/>
    <x v="1"/>
  </r>
  <r>
    <n v="5049"/>
    <d v="2025-03-19T00:00:00"/>
    <x v="1"/>
    <x v="4"/>
    <x v="1"/>
    <x v="2"/>
    <s v="Fixed"/>
    <n v="10487"/>
    <s v="Cash"/>
    <x v="1"/>
    <x v="1"/>
  </r>
  <r>
    <n v="5073"/>
    <d v="2025-04-19T00:00:00"/>
    <x v="0"/>
    <x v="4"/>
    <x v="0"/>
    <x v="5"/>
    <s v="Variable"/>
    <n v="10448"/>
    <s v="Credit"/>
    <x v="0"/>
    <x v="0"/>
  </r>
  <r>
    <n v="5221"/>
    <d v="2025-01-01T00:00:00"/>
    <x v="2"/>
    <x v="1"/>
    <x v="2"/>
    <x v="5"/>
    <s v="Variable"/>
    <n v="10392"/>
    <s v="Credit"/>
    <x v="1"/>
    <x v="1"/>
  </r>
  <r>
    <n v="5033"/>
    <d v="2025-01-26T00:00:00"/>
    <x v="2"/>
    <x v="1"/>
    <x v="3"/>
    <x v="4"/>
    <s v="Variable"/>
    <n v="10332"/>
    <s v="Bank Transfer"/>
    <x v="0"/>
    <x v="0"/>
  </r>
  <r>
    <n v="5169"/>
    <d v="2025-02-08T00:00:00"/>
    <x v="3"/>
    <x v="1"/>
    <x v="1"/>
    <x v="2"/>
    <s v="Fixed"/>
    <n v="10319"/>
    <s v="Credit"/>
    <x v="1"/>
    <x v="1"/>
  </r>
  <r>
    <n v="5278"/>
    <d v="2025-04-10T00:00:00"/>
    <x v="0"/>
    <x v="1"/>
    <x v="2"/>
    <x v="1"/>
    <s v="Variable"/>
    <n v="10308"/>
    <s v="Credit"/>
    <x v="0"/>
    <x v="0"/>
  </r>
  <r>
    <n v="5058"/>
    <d v="2025-01-31T00:00:00"/>
    <x v="2"/>
    <x v="1"/>
    <x v="2"/>
    <x v="3"/>
    <s v="Variable"/>
    <n v="10264"/>
    <s v="Credit"/>
    <x v="1"/>
    <x v="1"/>
  </r>
  <r>
    <n v="5223"/>
    <d v="2025-01-29T00:00:00"/>
    <x v="2"/>
    <x v="0"/>
    <x v="1"/>
    <x v="4"/>
    <s v="Variable"/>
    <n v="10214"/>
    <s v="Bank Transfer"/>
    <x v="1"/>
    <x v="1"/>
  </r>
  <r>
    <n v="5017"/>
    <d v="2025-01-23T00:00:00"/>
    <x v="2"/>
    <x v="4"/>
    <x v="1"/>
    <x v="3"/>
    <s v="Variable"/>
    <n v="10029"/>
    <s v="Bank Transfer"/>
    <x v="0"/>
    <x v="0"/>
  </r>
  <r>
    <n v="5257"/>
    <d v="2025-04-18T00:00:00"/>
    <x v="0"/>
    <x v="3"/>
    <x v="3"/>
    <x v="0"/>
    <s v="Variable"/>
    <n v="10016"/>
    <s v="Bank Transfer"/>
    <x v="0"/>
    <x v="0"/>
  </r>
  <r>
    <n v="5122"/>
    <d v="2025-01-25T00:00:00"/>
    <x v="2"/>
    <x v="0"/>
    <x v="1"/>
    <x v="4"/>
    <s v="Variable"/>
    <n v="9829"/>
    <s v="Bank Transfer"/>
    <x v="1"/>
    <x v="1"/>
  </r>
  <r>
    <n v="5273"/>
    <d v="2025-01-31T00:00:00"/>
    <x v="2"/>
    <x v="4"/>
    <x v="0"/>
    <x v="5"/>
    <s v="Variable"/>
    <n v="9631"/>
    <s v="Bank Transfer"/>
    <x v="1"/>
    <x v="1"/>
  </r>
  <r>
    <n v="5227"/>
    <d v="2025-01-30T00:00:00"/>
    <x v="2"/>
    <x v="2"/>
    <x v="3"/>
    <x v="1"/>
    <s v="Variable"/>
    <n v="9599"/>
    <s v="Bank Transfer"/>
    <x v="0"/>
    <x v="0"/>
  </r>
  <r>
    <n v="5292"/>
    <d v="2025-04-02T00:00:00"/>
    <x v="0"/>
    <x v="2"/>
    <x v="0"/>
    <x v="3"/>
    <s v="Variable"/>
    <n v="9595"/>
    <s v="Cash"/>
    <x v="1"/>
    <x v="1"/>
  </r>
  <r>
    <n v="5279"/>
    <d v="2025-01-29T00:00:00"/>
    <x v="2"/>
    <x v="4"/>
    <x v="0"/>
    <x v="4"/>
    <s v="Variable"/>
    <n v="9369"/>
    <s v="Cash"/>
    <x v="1"/>
    <x v="1"/>
  </r>
  <r>
    <n v="5098"/>
    <d v="2025-01-10T00:00:00"/>
    <x v="2"/>
    <x v="3"/>
    <x v="3"/>
    <x v="5"/>
    <s v="Variable"/>
    <n v="9142"/>
    <s v="Bank Transfer"/>
    <x v="0"/>
    <x v="0"/>
  </r>
  <r>
    <n v="5126"/>
    <d v="2025-04-18T00:00:00"/>
    <x v="0"/>
    <x v="3"/>
    <x v="1"/>
    <x v="0"/>
    <s v="Variable"/>
    <n v="9083"/>
    <s v="Bank Transfer"/>
    <x v="0"/>
    <x v="0"/>
  </r>
  <r>
    <n v="5271"/>
    <d v="2025-04-16T00:00:00"/>
    <x v="0"/>
    <x v="0"/>
    <x v="3"/>
    <x v="5"/>
    <s v="Variable"/>
    <n v="9026"/>
    <s v="Cash"/>
    <x v="0"/>
    <x v="0"/>
  </r>
  <r>
    <n v="5113"/>
    <d v="2025-02-24T00:00:00"/>
    <x v="3"/>
    <x v="2"/>
    <x v="2"/>
    <x v="0"/>
    <s v="Variable"/>
    <n v="8945"/>
    <s v="Credit"/>
    <x v="0"/>
    <x v="0"/>
  </r>
  <r>
    <n v="5009"/>
    <d v="2025-01-12T00:00:00"/>
    <x v="2"/>
    <x v="4"/>
    <x v="1"/>
    <x v="4"/>
    <s v="Variable"/>
    <n v="8944"/>
    <s v="Cash"/>
    <x v="0"/>
    <x v="0"/>
  </r>
  <r>
    <n v="5138"/>
    <d v="2025-04-27T00:00:00"/>
    <x v="0"/>
    <x v="4"/>
    <x v="0"/>
    <x v="5"/>
    <s v="Variable"/>
    <n v="8837"/>
    <s v="Credit"/>
    <x v="1"/>
    <x v="1"/>
  </r>
  <r>
    <n v="5253"/>
    <d v="2025-01-31T00:00:00"/>
    <x v="2"/>
    <x v="0"/>
    <x v="0"/>
    <x v="4"/>
    <s v="Variable"/>
    <n v="8836"/>
    <s v="Credit"/>
    <x v="0"/>
    <x v="0"/>
  </r>
  <r>
    <n v="5239"/>
    <d v="2025-03-20T00:00:00"/>
    <x v="1"/>
    <x v="1"/>
    <x v="3"/>
    <x v="3"/>
    <s v="Variable"/>
    <n v="8686"/>
    <s v="Bank Transfer"/>
    <x v="1"/>
    <x v="1"/>
  </r>
  <r>
    <n v="5194"/>
    <d v="2025-04-26T00:00:00"/>
    <x v="0"/>
    <x v="3"/>
    <x v="2"/>
    <x v="2"/>
    <s v="Fixed"/>
    <n v="8621"/>
    <s v="Bank Transfer"/>
    <x v="0"/>
    <x v="0"/>
  </r>
  <r>
    <n v="5178"/>
    <d v="2025-01-27T00:00:00"/>
    <x v="2"/>
    <x v="4"/>
    <x v="1"/>
    <x v="5"/>
    <s v="Variable"/>
    <n v="8520"/>
    <s v="Credit"/>
    <x v="0"/>
    <x v="0"/>
  </r>
  <r>
    <n v="5260"/>
    <d v="2025-01-20T00:00:00"/>
    <x v="2"/>
    <x v="2"/>
    <x v="3"/>
    <x v="4"/>
    <s v="Variable"/>
    <n v="8513"/>
    <s v="Credit"/>
    <x v="1"/>
    <x v="1"/>
  </r>
  <r>
    <n v="5285"/>
    <d v="2025-02-16T00:00:00"/>
    <x v="3"/>
    <x v="4"/>
    <x v="1"/>
    <x v="0"/>
    <s v="Variable"/>
    <n v="8401"/>
    <s v="Bank Transfer"/>
    <x v="1"/>
    <x v="1"/>
  </r>
  <r>
    <n v="5089"/>
    <d v="2025-03-03T00:00:00"/>
    <x v="1"/>
    <x v="2"/>
    <x v="0"/>
    <x v="2"/>
    <s v="Fixed"/>
    <n v="8397"/>
    <s v="Bank Transfer"/>
    <x v="0"/>
    <x v="0"/>
  </r>
  <r>
    <n v="5241"/>
    <d v="2025-01-11T00:00:00"/>
    <x v="2"/>
    <x v="0"/>
    <x v="0"/>
    <x v="0"/>
    <s v="Variable"/>
    <n v="8380"/>
    <s v="Bank Transfer"/>
    <x v="1"/>
    <x v="1"/>
  </r>
  <r>
    <n v="5075"/>
    <d v="2025-01-11T00:00:00"/>
    <x v="2"/>
    <x v="3"/>
    <x v="3"/>
    <x v="1"/>
    <s v="Variable"/>
    <n v="8362"/>
    <s v="Bank Transfer"/>
    <x v="0"/>
    <x v="0"/>
  </r>
  <r>
    <n v="5186"/>
    <d v="2025-03-08T00:00:00"/>
    <x v="1"/>
    <x v="3"/>
    <x v="1"/>
    <x v="3"/>
    <s v="Variable"/>
    <n v="8302"/>
    <s v="Bank Transfer"/>
    <x v="1"/>
    <x v="1"/>
  </r>
  <r>
    <n v="5173"/>
    <d v="2025-03-11T00:00:00"/>
    <x v="1"/>
    <x v="3"/>
    <x v="3"/>
    <x v="1"/>
    <s v="Variable"/>
    <n v="8253"/>
    <s v="Cash"/>
    <x v="0"/>
    <x v="0"/>
  </r>
  <r>
    <n v="5069"/>
    <d v="2025-04-05T00:00:00"/>
    <x v="0"/>
    <x v="3"/>
    <x v="0"/>
    <x v="3"/>
    <s v="Variable"/>
    <n v="8240"/>
    <s v="Bank Transfer"/>
    <x v="0"/>
    <x v="0"/>
  </r>
  <r>
    <n v="5206"/>
    <d v="2025-02-16T00:00:00"/>
    <x v="3"/>
    <x v="4"/>
    <x v="3"/>
    <x v="1"/>
    <s v="Variable"/>
    <n v="8028"/>
    <s v="Bank Transfer"/>
    <x v="1"/>
    <x v="1"/>
  </r>
  <r>
    <n v="5056"/>
    <d v="2025-03-14T00:00:00"/>
    <x v="1"/>
    <x v="3"/>
    <x v="2"/>
    <x v="4"/>
    <s v="Variable"/>
    <n v="8000"/>
    <s v="Cash"/>
    <x v="1"/>
    <x v="1"/>
  </r>
  <r>
    <n v="5163"/>
    <d v="2025-02-24T00:00:00"/>
    <x v="3"/>
    <x v="4"/>
    <x v="3"/>
    <x v="4"/>
    <s v="Variable"/>
    <n v="8000"/>
    <s v="Credit"/>
    <x v="1"/>
    <x v="1"/>
  </r>
  <r>
    <n v="5042"/>
    <d v="2025-04-22T00:00:00"/>
    <x v="0"/>
    <x v="3"/>
    <x v="0"/>
    <x v="5"/>
    <s v="Variable"/>
    <n v="7755"/>
    <s v="Cash"/>
    <x v="0"/>
    <x v="0"/>
  </r>
  <r>
    <n v="5080"/>
    <d v="2025-02-18T00:00:00"/>
    <x v="3"/>
    <x v="2"/>
    <x v="0"/>
    <x v="4"/>
    <s v="Variable"/>
    <n v="7683"/>
    <s v="Credit"/>
    <x v="0"/>
    <x v="0"/>
  </r>
  <r>
    <n v="5159"/>
    <d v="2025-02-28T00:00:00"/>
    <x v="3"/>
    <x v="4"/>
    <x v="1"/>
    <x v="0"/>
    <s v="Variable"/>
    <n v="7625"/>
    <s v="Cash"/>
    <x v="1"/>
    <x v="1"/>
  </r>
  <r>
    <n v="5204"/>
    <d v="2025-04-08T00:00:00"/>
    <x v="0"/>
    <x v="4"/>
    <x v="1"/>
    <x v="5"/>
    <s v="Variable"/>
    <n v="7578"/>
    <s v="Bank Transfer"/>
    <x v="0"/>
    <x v="0"/>
  </r>
  <r>
    <n v="5209"/>
    <d v="2025-04-15T00:00:00"/>
    <x v="0"/>
    <x v="0"/>
    <x v="3"/>
    <x v="3"/>
    <s v="Variable"/>
    <n v="7561"/>
    <s v="Bank Transfer"/>
    <x v="1"/>
    <x v="1"/>
  </r>
  <r>
    <n v="5202"/>
    <d v="2025-02-06T00:00:00"/>
    <x v="3"/>
    <x v="3"/>
    <x v="0"/>
    <x v="5"/>
    <s v="Variable"/>
    <n v="7384"/>
    <s v="Credit"/>
    <x v="0"/>
    <x v="0"/>
  </r>
  <r>
    <n v="5219"/>
    <d v="2025-02-02T00:00:00"/>
    <x v="3"/>
    <x v="0"/>
    <x v="0"/>
    <x v="0"/>
    <s v="Variable"/>
    <n v="7333"/>
    <s v="Cash"/>
    <x v="0"/>
    <x v="0"/>
  </r>
  <r>
    <n v="5018"/>
    <d v="2025-01-02T00:00:00"/>
    <x v="2"/>
    <x v="0"/>
    <x v="1"/>
    <x v="4"/>
    <s v="Variable"/>
    <n v="7271"/>
    <s v="Cash"/>
    <x v="0"/>
    <x v="0"/>
  </r>
  <r>
    <n v="5199"/>
    <d v="2025-03-14T00:00:00"/>
    <x v="1"/>
    <x v="4"/>
    <x v="2"/>
    <x v="2"/>
    <s v="Fixed"/>
    <n v="7184"/>
    <s v="Bank Transfer"/>
    <x v="1"/>
    <x v="1"/>
  </r>
  <r>
    <n v="5242"/>
    <d v="2025-02-18T00:00:00"/>
    <x v="3"/>
    <x v="2"/>
    <x v="2"/>
    <x v="1"/>
    <s v="Variable"/>
    <n v="7145"/>
    <s v="Bank Transfer"/>
    <x v="0"/>
    <x v="0"/>
  </r>
  <r>
    <n v="5084"/>
    <d v="2025-01-23T00:00:00"/>
    <x v="2"/>
    <x v="1"/>
    <x v="3"/>
    <x v="0"/>
    <s v="Variable"/>
    <n v="7129"/>
    <s v="Bank Transfer"/>
    <x v="0"/>
    <x v="0"/>
  </r>
  <r>
    <n v="5141"/>
    <d v="2025-02-11T00:00:00"/>
    <x v="3"/>
    <x v="0"/>
    <x v="2"/>
    <x v="3"/>
    <s v="Variable"/>
    <n v="7102"/>
    <s v="Cash"/>
    <x v="1"/>
    <x v="1"/>
  </r>
  <r>
    <n v="5055"/>
    <d v="2025-01-08T00:00:00"/>
    <x v="2"/>
    <x v="0"/>
    <x v="0"/>
    <x v="0"/>
    <s v="Variable"/>
    <n v="6721"/>
    <s v="Credit"/>
    <x v="0"/>
    <x v="0"/>
  </r>
  <r>
    <n v="5269"/>
    <d v="2025-01-06T00:00:00"/>
    <x v="2"/>
    <x v="3"/>
    <x v="2"/>
    <x v="0"/>
    <s v="Variable"/>
    <n v="6651"/>
    <s v="Credit"/>
    <x v="0"/>
    <x v="0"/>
  </r>
  <r>
    <n v="5211"/>
    <d v="2025-01-17T00:00:00"/>
    <x v="2"/>
    <x v="0"/>
    <x v="3"/>
    <x v="1"/>
    <s v="Variable"/>
    <n v="6608"/>
    <s v="Credit"/>
    <x v="0"/>
    <x v="0"/>
  </r>
  <r>
    <n v="5160"/>
    <d v="2025-04-25T00:00:00"/>
    <x v="0"/>
    <x v="4"/>
    <x v="0"/>
    <x v="1"/>
    <s v="Variable"/>
    <n v="6545"/>
    <s v="Bank Transfer"/>
    <x v="0"/>
    <x v="0"/>
  </r>
  <r>
    <n v="5130"/>
    <d v="2025-04-11T00:00:00"/>
    <x v="0"/>
    <x v="2"/>
    <x v="3"/>
    <x v="4"/>
    <s v="Variable"/>
    <n v="6535"/>
    <s v="Credit"/>
    <x v="0"/>
    <x v="0"/>
  </r>
  <r>
    <n v="5220"/>
    <d v="2025-04-13T00:00:00"/>
    <x v="0"/>
    <x v="2"/>
    <x v="1"/>
    <x v="4"/>
    <s v="Variable"/>
    <n v="6510"/>
    <s v="Cash"/>
    <x v="1"/>
    <x v="1"/>
  </r>
  <r>
    <n v="5046"/>
    <d v="2025-02-16T00:00:00"/>
    <x v="3"/>
    <x v="0"/>
    <x v="3"/>
    <x v="3"/>
    <s v="Variable"/>
    <n v="6348"/>
    <s v="Bank Transfer"/>
    <x v="0"/>
    <x v="0"/>
  </r>
  <r>
    <n v="5142"/>
    <d v="2025-03-19T00:00:00"/>
    <x v="1"/>
    <x v="4"/>
    <x v="3"/>
    <x v="2"/>
    <s v="Fixed"/>
    <n v="6285"/>
    <s v="Bank Transfer"/>
    <x v="1"/>
    <x v="1"/>
  </r>
  <r>
    <n v="5118"/>
    <d v="2025-01-09T00:00:00"/>
    <x v="2"/>
    <x v="0"/>
    <x v="2"/>
    <x v="5"/>
    <s v="Variable"/>
    <n v="6216"/>
    <s v="Credit"/>
    <x v="1"/>
    <x v="1"/>
  </r>
  <r>
    <n v="5266"/>
    <d v="2025-01-06T00:00:00"/>
    <x v="2"/>
    <x v="4"/>
    <x v="0"/>
    <x v="5"/>
    <s v="Variable"/>
    <n v="6126"/>
    <s v="Cash"/>
    <x v="1"/>
    <x v="1"/>
  </r>
  <r>
    <n v="5104"/>
    <d v="2025-02-10T00:00:00"/>
    <x v="3"/>
    <x v="1"/>
    <x v="0"/>
    <x v="2"/>
    <s v="Fixed"/>
    <n v="6082"/>
    <s v="Cash"/>
    <x v="1"/>
    <x v="1"/>
  </r>
  <r>
    <n v="5280"/>
    <d v="2025-03-06T00:00:00"/>
    <x v="1"/>
    <x v="3"/>
    <x v="2"/>
    <x v="3"/>
    <s v="Variable"/>
    <n v="6041"/>
    <s v="Bank Transfer"/>
    <x v="0"/>
    <x v="0"/>
  </r>
  <r>
    <n v="5243"/>
    <d v="2025-01-20T00:00:00"/>
    <x v="2"/>
    <x v="1"/>
    <x v="0"/>
    <x v="0"/>
    <s v="Variable"/>
    <n v="6016"/>
    <s v="Bank Transfer"/>
    <x v="1"/>
    <x v="1"/>
  </r>
  <r>
    <n v="5290"/>
    <d v="2025-01-28T00:00:00"/>
    <x v="2"/>
    <x v="3"/>
    <x v="1"/>
    <x v="4"/>
    <s v="Variable"/>
    <n v="6016"/>
    <s v="Bank Transfer"/>
    <x v="1"/>
    <x v="1"/>
  </r>
  <r>
    <n v="5282"/>
    <d v="2025-03-20T00:00:00"/>
    <x v="1"/>
    <x v="0"/>
    <x v="3"/>
    <x v="0"/>
    <s v="Variable"/>
    <n v="5979"/>
    <s v="Bank Transfer"/>
    <x v="0"/>
    <x v="0"/>
  </r>
  <r>
    <n v="5299"/>
    <d v="2025-04-13T00:00:00"/>
    <x v="0"/>
    <x v="1"/>
    <x v="3"/>
    <x v="1"/>
    <s v="Variable"/>
    <n v="5905"/>
    <s v="Cash"/>
    <x v="0"/>
    <x v="0"/>
  </r>
  <r>
    <n v="5121"/>
    <d v="2025-04-19T00:00:00"/>
    <x v="0"/>
    <x v="4"/>
    <x v="3"/>
    <x v="1"/>
    <s v="Variable"/>
    <n v="5831"/>
    <s v="Credit"/>
    <x v="1"/>
    <x v="1"/>
  </r>
  <r>
    <n v="5193"/>
    <d v="2025-02-06T00:00:00"/>
    <x v="3"/>
    <x v="4"/>
    <x v="0"/>
    <x v="0"/>
    <s v="Variable"/>
    <n v="5778"/>
    <s v="Bank Transfer"/>
    <x v="0"/>
    <x v="0"/>
  </r>
  <r>
    <n v="5001"/>
    <d v="2025-01-13T00:00:00"/>
    <x v="2"/>
    <x v="3"/>
    <x v="1"/>
    <x v="5"/>
    <s v="Variable"/>
    <n v="5692"/>
    <s v="Cash"/>
    <x v="1"/>
    <x v="1"/>
  </r>
  <r>
    <n v="5148"/>
    <d v="2025-04-23T00:00:00"/>
    <x v="0"/>
    <x v="4"/>
    <x v="2"/>
    <x v="1"/>
    <s v="Variable"/>
    <n v="5671"/>
    <s v="Cash"/>
    <x v="1"/>
    <x v="1"/>
  </r>
  <r>
    <n v="5112"/>
    <d v="2025-03-26T00:00:00"/>
    <x v="1"/>
    <x v="0"/>
    <x v="0"/>
    <x v="4"/>
    <s v="Variable"/>
    <n v="5668"/>
    <s v="Credit"/>
    <x v="0"/>
    <x v="0"/>
  </r>
  <r>
    <n v="5203"/>
    <d v="2025-02-10T00:00:00"/>
    <x v="3"/>
    <x v="3"/>
    <x v="2"/>
    <x v="5"/>
    <s v="Variable"/>
    <n v="5638"/>
    <s v="Bank Transfer"/>
    <x v="1"/>
    <x v="1"/>
  </r>
  <r>
    <n v="5092"/>
    <d v="2025-03-25T00:00:00"/>
    <x v="1"/>
    <x v="3"/>
    <x v="0"/>
    <x v="0"/>
    <s v="Variable"/>
    <n v="5506"/>
    <s v="Cash"/>
    <x v="1"/>
    <x v="1"/>
  </r>
  <r>
    <n v="5071"/>
    <d v="2025-03-24T00:00:00"/>
    <x v="1"/>
    <x v="2"/>
    <x v="1"/>
    <x v="0"/>
    <s v="Variable"/>
    <n v="5479"/>
    <s v="Bank Transfer"/>
    <x v="0"/>
    <x v="0"/>
  </r>
  <r>
    <n v="5168"/>
    <d v="2025-03-18T00:00:00"/>
    <x v="1"/>
    <x v="4"/>
    <x v="1"/>
    <x v="2"/>
    <s v="Fixed"/>
    <n v="5478"/>
    <s v="Cash"/>
    <x v="0"/>
    <x v="0"/>
  </r>
  <r>
    <n v="5191"/>
    <d v="2025-03-18T00:00:00"/>
    <x v="1"/>
    <x v="2"/>
    <x v="0"/>
    <x v="1"/>
    <s v="Variable"/>
    <n v="5446"/>
    <s v="Credit"/>
    <x v="1"/>
    <x v="1"/>
  </r>
  <r>
    <n v="5276"/>
    <d v="2025-03-09T00:00:00"/>
    <x v="1"/>
    <x v="0"/>
    <x v="3"/>
    <x v="2"/>
    <s v="Fixed"/>
    <n v="5418"/>
    <s v="Bank Transfer"/>
    <x v="1"/>
    <x v="1"/>
  </r>
  <r>
    <n v="5208"/>
    <d v="2025-04-12T00:00:00"/>
    <x v="0"/>
    <x v="2"/>
    <x v="0"/>
    <x v="2"/>
    <s v="Fixed"/>
    <n v="5390"/>
    <s v="Credit"/>
    <x v="1"/>
    <x v="1"/>
  </r>
  <r>
    <n v="5166"/>
    <d v="2025-03-13T00:00:00"/>
    <x v="1"/>
    <x v="0"/>
    <x v="1"/>
    <x v="5"/>
    <s v="Variable"/>
    <n v="5323"/>
    <s v="Bank Transfer"/>
    <x v="1"/>
    <x v="1"/>
  </r>
  <r>
    <n v="5047"/>
    <d v="2025-01-24T00:00:00"/>
    <x v="2"/>
    <x v="2"/>
    <x v="1"/>
    <x v="2"/>
    <s v="Fixed"/>
    <n v="5291"/>
    <s v="Credit"/>
    <x v="0"/>
    <x v="0"/>
  </r>
  <r>
    <n v="5010"/>
    <d v="2025-04-17T00:00:00"/>
    <x v="0"/>
    <x v="4"/>
    <x v="1"/>
    <x v="4"/>
    <s v="Variable"/>
    <n v="5264"/>
    <s v="Cash"/>
    <x v="0"/>
    <x v="0"/>
  </r>
  <r>
    <n v="5246"/>
    <d v="2025-04-29T00:00:00"/>
    <x v="0"/>
    <x v="4"/>
    <x v="3"/>
    <x v="0"/>
    <s v="Variable"/>
    <n v="5263"/>
    <s v="Bank Transfer"/>
    <x v="1"/>
    <x v="1"/>
  </r>
  <r>
    <n v="5233"/>
    <d v="2025-01-13T00:00:00"/>
    <x v="2"/>
    <x v="2"/>
    <x v="2"/>
    <x v="0"/>
    <s v="Variable"/>
    <n v="5253"/>
    <s v="Cash"/>
    <x v="0"/>
    <x v="0"/>
  </r>
  <r>
    <n v="5108"/>
    <d v="2025-02-16T00:00:00"/>
    <x v="3"/>
    <x v="3"/>
    <x v="2"/>
    <x v="4"/>
    <s v="Variable"/>
    <n v="5009"/>
    <s v="Bank Transfer"/>
    <x v="1"/>
    <x v="1"/>
  </r>
  <r>
    <n v="5164"/>
    <d v="2025-01-13T00:00:00"/>
    <x v="2"/>
    <x v="0"/>
    <x v="0"/>
    <x v="1"/>
    <s v="Variable"/>
    <n v="4972"/>
    <s v="Credit"/>
    <x v="1"/>
    <x v="1"/>
  </r>
  <r>
    <n v="5216"/>
    <d v="2025-04-11T00:00:00"/>
    <x v="0"/>
    <x v="3"/>
    <x v="1"/>
    <x v="3"/>
    <s v="Variable"/>
    <n v="4939"/>
    <s v="Cash"/>
    <x v="1"/>
    <x v="1"/>
  </r>
  <r>
    <n v="5195"/>
    <d v="2025-02-05T00:00:00"/>
    <x v="3"/>
    <x v="2"/>
    <x v="3"/>
    <x v="2"/>
    <s v="Fixed"/>
    <n v="4933"/>
    <s v="Cash"/>
    <x v="0"/>
    <x v="0"/>
  </r>
  <r>
    <n v="5268"/>
    <d v="2025-04-28T00:00:00"/>
    <x v="0"/>
    <x v="4"/>
    <x v="3"/>
    <x v="2"/>
    <s v="Fixed"/>
    <n v="4793"/>
    <s v="Cash"/>
    <x v="1"/>
    <x v="1"/>
  </r>
  <r>
    <n v="5019"/>
    <d v="2025-02-17T00:00:00"/>
    <x v="3"/>
    <x v="3"/>
    <x v="2"/>
    <x v="4"/>
    <s v="Variable"/>
    <n v="4574"/>
    <s v="Credit"/>
    <x v="0"/>
    <x v="0"/>
  </r>
  <r>
    <n v="5177"/>
    <d v="2025-04-05T00:00:00"/>
    <x v="0"/>
    <x v="4"/>
    <x v="0"/>
    <x v="3"/>
    <s v="Variable"/>
    <n v="4564"/>
    <s v="Credit"/>
    <x v="0"/>
    <x v="0"/>
  </r>
  <r>
    <n v="5053"/>
    <d v="2025-01-03T00:00:00"/>
    <x v="2"/>
    <x v="1"/>
    <x v="0"/>
    <x v="4"/>
    <s v="Variable"/>
    <n v="4559"/>
    <s v="Bank Transfer"/>
    <x v="0"/>
    <x v="0"/>
  </r>
  <r>
    <n v="5245"/>
    <d v="2025-01-05T00:00:00"/>
    <x v="2"/>
    <x v="4"/>
    <x v="0"/>
    <x v="2"/>
    <s v="Fixed"/>
    <n v="4556"/>
    <s v="Bank Transfer"/>
    <x v="1"/>
    <x v="1"/>
  </r>
  <r>
    <n v="5043"/>
    <d v="2025-01-26T00:00:00"/>
    <x v="2"/>
    <x v="3"/>
    <x v="2"/>
    <x v="1"/>
    <s v="Variable"/>
    <n v="4539"/>
    <s v="Cash"/>
    <x v="1"/>
    <x v="1"/>
  </r>
  <r>
    <n v="5275"/>
    <d v="2025-03-09T00:00:00"/>
    <x v="1"/>
    <x v="3"/>
    <x v="0"/>
    <x v="5"/>
    <s v="Variable"/>
    <n v="4343"/>
    <s v="Cash"/>
    <x v="0"/>
    <x v="0"/>
  </r>
  <r>
    <n v="5215"/>
    <d v="2025-04-07T00:00:00"/>
    <x v="0"/>
    <x v="2"/>
    <x v="0"/>
    <x v="0"/>
    <s v="Variable"/>
    <n v="4226"/>
    <s v="Credit"/>
    <x v="0"/>
    <x v="0"/>
  </r>
  <r>
    <n v="5094"/>
    <d v="2025-04-27T00:00:00"/>
    <x v="0"/>
    <x v="4"/>
    <x v="2"/>
    <x v="4"/>
    <s v="Variable"/>
    <n v="4218"/>
    <s v="Bank Transfer"/>
    <x v="1"/>
    <x v="1"/>
  </r>
  <r>
    <n v="5151"/>
    <d v="2025-03-05T00:00:00"/>
    <x v="1"/>
    <x v="0"/>
    <x v="1"/>
    <x v="4"/>
    <s v="Variable"/>
    <n v="4105"/>
    <s v="Credit"/>
    <x v="0"/>
    <x v="0"/>
  </r>
  <r>
    <n v="5296"/>
    <d v="2025-01-23T00:00:00"/>
    <x v="2"/>
    <x v="0"/>
    <x v="2"/>
    <x v="2"/>
    <s v="Fixed"/>
    <n v="3978"/>
    <s v="Credit"/>
    <x v="1"/>
    <x v="1"/>
  </r>
  <r>
    <n v="5152"/>
    <d v="2025-02-16T00:00:00"/>
    <x v="3"/>
    <x v="2"/>
    <x v="2"/>
    <x v="2"/>
    <s v="Fixed"/>
    <n v="3952"/>
    <s v="Bank Transfer"/>
    <x v="1"/>
    <x v="1"/>
  </r>
  <r>
    <n v="5036"/>
    <d v="2025-01-24T00:00:00"/>
    <x v="2"/>
    <x v="4"/>
    <x v="0"/>
    <x v="1"/>
    <s v="Variable"/>
    <n v="3928"/>
    <s v="Bank Transfer"/>
    <x v="0"/>
    <x v="0"/>
  </r>
  <r>
    <n v="5090"/>
    <d v="2025-01-22T00:00:00"/>
    <x v="2"/>
    <x v="4"/>
    <x v="1"/>
    <x v="3"/>
    <s v="Variable"/>
    <n v="3803"/>
    <s v="Cash"/>
    <x v="0"/>
    <x v="0"/>
  </r>
  <r>
    <n v="5167"/>
    <d v="2025-02-09T00:00:00"/>
    <x v="3"/>
    <x v="2"/>
    <x v="1"/>
    <x v="0"/>
    <s v="Variable"/>
    <n v="3615"/>
    <s v="Bank Transfer"/>
    <x v="1"/>
    <x v="1"/>
  </r>
  <r>
    <n v="5263"/>
    <d v="2025-04-13T00:00:00"/>
    <x v="0"/>
    <x v="2"/>
    <x v="1"/>
    <x v="3"/>
    <s v="Variable"/>
    <n v="3610"/>
    <s v="Cash"/>
    <x v="0"/>
    <x v="0"/>
  </r>
  <r>
    <n v="5252"/>
    <d v="2025-03-16T00:00:00"/>
    <x v="1"/>
    <x v="4"/>
    <x v="1"/>
    <x v="0"/>
    <s v="Variable"/>
    <n v="3462"/>
    <s v="Cash"/>
    <x v="1"/>
    <x v="1"/>
  </r>
  <r>
    <n v="5188"/>
    <d v="2025-04-06T00:00:00"/>
    <x v="0"/>
    <x v="0"/>
    <x v="3"/>
    <x v="2"/>
    <s v="Fixed"/>
    <n v="3453"/>
    <s v="Cash"/>
    <x v="1"/>
    <x v="1"/>
  </r>
  <r>
    <n v="5247"/>
    <d v="2025-02-20T00:00:00"/>
    <x v="3"/>
    <x v="3"/>
    <x v="2"/>
    <x v="3"/>
    <s v="Variable"/>
    <n v="3384"/>
    <s v="Bank Transfer"/>
    <x v="1"/>
    <x v="1"/>
  </r>
  <r>
    <n v="5232"/>
    <d v="2025-03-06T00:00:00"/>
    <x v="1"/>
    <x v="4"/>
    <x v="0"/>
    <x v="2"/>
    <s v="Fixed"/>
    <n v="3291"/>
    <s v="Bank Transfer"/>
    <x v="0"/>
    <x v="0"/>
  </r>
  <r>
    <n v="5027"/>
    <d v="2025-03-22T00:00:00"/>
    <x v="1"/>
    <x v="4"/>
    <x v="1"/>
    <x v="1"/>
    <s v="Variable"/>
    <n v="3169"/>
    <s v="Credit"/>
    <x v="0"/>
    <x v="0"/>
  </r>
  <r>
    <n v="5261"/>
    <d v="2025-02-03T00:00:00"/>
    <x v="3"/>
    <x v="1"/>
    <x v="1"/>
    <x v="5"/>
    <s v="Variable"/>
    <n v="3099"/>
    <s v="Bank Transfer"/>
    <x v="1"/>
    <x v="1"/>
  </r>
  <r>
    <n v="5214"/>
    <d v="2025-01-23T00:00:00"/>
    <x v="2"/>
    <x v="2"/>
    <x v="2"/>
    <x v="2"/>
    <s v="Fixed"/>
    <n v="3066"/>
    <s v="Credit"/>
    <x v="1"/>
    <x v="1"/>
  </r>
  <r>
    <n v="5207"/>
    <d v="2025-03-31T00:00:00"/>
    <x v="1"/>
    <x v="1"/>
    <x v="1"/>
    <x v="4"/>
    <s v="Variable"/>
    <n v="3059"/>
    <s v="Cash"/>
    <x v="0"/>
    <x v="0"/>
  </r>
  <r>
    <n v="5205"/>
    <d v="2025-03-05T00:00:00"/>
    <x v="1"/>
    <x v="2"/>
    <x v="1"/>
    <x v="5"/>
    <s v="Variable"/>
    <n v="3047"/>
    <s v="Cash"/>
    <x v="0"/>
    <x v="0"/>
  </r>
  <r>
    <n v="5184"/>
    <d v="2025-03-03T00:00:00"/>
    <x v="1"/>
    <x v="1"/>
    <x v="0"/>
    <x v="3"/>
    <s v="Variable"/>
    <n v="3002"/>
    <s v="Credit"/>
    <x v="0"/>
    <x v="0"/>
  </r>
  <r>
    <n v="5143"/>
    <d v="2025-04-13T00:00:00"/>
    <x v="0"/>
    <x v="2"/>
    <x v="1"/>
    <x v="4"/>
    <s v="Variable"/>
    <n v="2788"/>
    <s v="Bank Transfer"/>
    <x v="0"/>
    <x v="0"/>
  </r>
  <r>
    <n v="5072"/>
    <d v="2025-04-08T00:00:00"/>
    <x v="0"/>
    <x v="2"/>
    <x v="2"/>
    <x v="5"/>
    <s v="Variable"/>
    <n v="2678"/>
    <s v="Credit"/>
    <x v="0"/>
    <x v="0"/>
  </r>
  <r>
    <n v="5123"/>
    <d v="2025-04-17T00:00:00"/>
    <x v="0"/>
    <x v="0"/>
    <x v="3"/>
    <x v="5"/>
    <s v="Variable"/>
    <n v="2592"/>
    <s v="Bank Transfer"/>
    <x v="0"/>
    <x v="0"/>
  </r>
  <r>
    <n v="5085"/>
    <d v="2025-01-14T00:00:00"/>
    <x v="2"/>
    <x v="1"/>
    <x v="2"/>
    <x v="2"/>
    <s v="Fixed"/>
    <n v="2533"/>
    <s v="Bank Transfer"/>
    <x v="1"/>
    <x v="1"/>
  </r>
  <r>
    <n v="5277"/>
    <d v="2025-04-08T00:00:00"/>
    <x v="0"/>
    <x v="3"/>
    <x v="3"/>
    <x v="5"/>
    <s v="Variable"/>
    <n v="2483"/>
    <s v="Cash"/>
    <x v="1"/>
    <x v="1"/>
  </r>
  <r>
    <n v="5250"/>
    <d v="2025-03-18T00:00:00"/>
    <x v="1"/>
    <x v="4"/>
    <x v="0"/>
    <x v="0"/>
    <s v="Variable"/>
    <n v="2388"/>
    <s v="Credit"/>
    <x v="1"/>
    <x v="1"/>
  </r>
  <r>
    <n v="5087"/>
    <d v="2025-02-23T00:00:00"/>
    <x v="3"/>
    <x v="4"/>
    <x v="1"/>
    <x v="5"/>
    <s v="Variable"/>
    <n v="2376"/>
    <s v="Bank Transfer"/>
    <x v="1"/>
    <x v="1"/>
  </r>
  <r>
    <n v="5026"/>
    <d v="2025-01-27T00:00:00"/>
    <x v="2"/>
    <x v="1"/>
    <x v="3"/>
    <x v="1"/>
    <s v="Variable"/>
    <n v="2344"/>
    <s v="Bank Transfer"/>
    <x v="1"/>
    <x v="1"/>
  </r>
  <r>
    <n v="5200"/>
    <d v="2025-01-03T00:00:00"/>
    <x v="2"/>
    <x v="4"/>
    <x v="1"/>
    <x v="2"/>
    <s v="Fixed"/>
    <n v="2263"/>
    <s v="Cash"/>
    <x v="0"/>
    <x v="0"/>
  </r>
  <r>
    <n v="5248"/>
    <d v="2025-01-04T00:00:00"/>
    <x v="2"/>
    <x v="2"/>
    <x v="0"/>
    <x v="1"/>
    <s v="Variable"/>
    <n v="2222"/>
    <s v="Credit"/>
    <x v="0"/>
    <x v="0"/>
  </r>
  <r>
    <n v="5124"/>
    <d v="2025-01-16T00:00:00"/>
    <x v="2"/>
    <x v="4"/>
    <x v="3"/>
    <x v="5"/>
    <s v="Variable"/>
    <n v="2194"/>
    <s v="Credit"/>
    <x v="1"/>
    <x v="1"/>
  </r>
  <r>
    <n v="5041"/>
    <d v="2025-01-24T00:00:00"/>
    <x v="2"/>
    <x v="1"/>
    <x v="0"/>
    <x v="1"/>
    <s v="Variable"/>
    <n v="2179"/>
    <s v="Cash"/>
    <x v="0"/>
    <x v="0"/>
  </r>
  <r>
    <n v="5025"/>
    <d v="2025-04-24T00:00:00"/>
    <x v="0"/>
    <x v="1"/>
    <x v="0"/>
    <x v="2"/>
    <s v="Fixed"/>
    <n v="2112"/>
    <s v="Cash"/>
    <x v="1"/>
    <x v="1"/>
  </r>
  <r>
    <n v="5103"/>
    <d v="2025-04-24T00:00:00"/>
    <x v="0"/>
    <x v="1"/>
    <x v="1"/>
    <x v="5"/>
    <s v="Variable"/>
    <n v="1985"/>
    <s v="Cash"/>
    <x v="0"/>
    <x v="0"/>
  </r>
  <r>
    <n v="5044"/>
    <d v="2025-04-26T00:00:00"/>
    <x v="0"/>
    <x v="0"/>
    <x v="1"/>
    <x v="2"/>
    <s v="Fixed"/>
    <n v="1872"/>
    <s v="Bank Transfer"/>
    <x v="0"/>
    <x v="0"/>
  </r>
  <r>
    <n v="5023"/>
    <d v="2025-02-19T00:00:00"/>
    <x v="3"/>
    <x v="1"/>
    <x v="0"/>
    <x v="0"/>
    <s v="Variable"/>
    <n v="1837"/>
    <s v="Credit"/>
    <x v="1"/>
    <x v="1"/>
  </r>
  <r>
    <n v="5032"/>
    <d v="2025-01-08T00:00:00"/>
    <x v="2"/>
    <x v="2"/>
    <x v="3"/>
    <x v="2"/>
    <s v="Fixed"/>
    <n v="1806"/>
    <s v="Cash"/>
    <x v="0"/>
    <x v="0"/>
  </r>
  <r>
    <n v="5045"/>
    <d v="2025-03-16T00:00:00"/>
    <x v="1"/>
    <x v="0"/>
    <x v="0"/>
    <x v="1"/>
    <s v="Variable"/>
    <n v="1714"/>
    <s v="Cash"/>
    <x v="0"/>
    <x v="0"/>
  </r>
  <r>
    <n v="5183"/>
    <d v="2025-03-25T00:00:00"/>
    <x v="1"/>
    <x v="4"/>
    <x v="3"/>
    <x v="4"/>
    <s v="Variable"/>
    <n v="1700"/>
    <s v="Bank Transfer"/>
    <x v="1"/>
    <x v="1"/>
  </r>
  <r>
    <n v="5014"/>
    <d v="2025-04-07T00:00:00"/>
    <x v="0"/>
    <x v="4"/>
    <x v="3"/>
    <x v="4"/>
    <s v="Variable"/>
    <n v="1610"/>
    <s v="Credit"/>
    <x v="0"/>
    <x v="0"/>
  </r>
  <r>
    <n v="5015"/>
    <d v="2025-01-14T00:00:00"/>
    <x v="2"/>
    <x v="3"/>
    <x v="3"/>
    <x v="5"/>
    <s v="Variable"/>
    <n v="1531"/>
    <s v="Cash"/>
    <x v="0"/>
    <x v="0"/>
  </r>
  <r>
    <n v="5229"/>
    <d v="2025-01-09T00:00:00"/>
    <x v="2"/>
    <x v="4"/>
    <x v="1"/>
    <x v="2"/>
    <s v="Fixed"/>
    <n v="1444"/>
    <s v="Cash"/>
    <x v="1"/>
    <x v="1"/>
  </r>
  <r>
    <n v="5231"/>
    <d v="2025-03-08T00:00:00"/>
    <x v="1"/>
    <x v="4"/>
    <x v="1"/>
    <x v="2"/>
    <s v="Fixed"/>
    <n v="1232"/>
    <s v="Cash"/>
    <x v="0"/>
    <x v="0"/>
  </r>
  <r>
    <n v="5240"/>
    <d v="2025-04-28T00:00:00"/>
    <x v="0"/>
    <x v="2"/>
    <x v="2"/>
    <x v="1"/>
    <s v="Variable"/>
    <n v="1221"/>
    <s v="Cash"/>
    <x v="1"/>
    <x v="1"/>
  </r>
  <r>
    <n v="5054"/>
    <d v="2025-01-22T00:00:00"/>
    <x v="2"/>
    <x v="0"/>
    <x v="1"/>
    <x v="3"/>
    <s v="Variable"/>
    <n v="1215"/>
    <s v="Bank Transfer"/>
    <x v="0"/>
    <x v="0"/>
  </r>
  <r>
    <n v="5095"/>
    <d v="2025-03-19T00:00:00"/>
    <x v="1"/>
    <x v="4"/>
    <x v="1"/>
    <x v="5"/>
    <s v="Variable"/>
    <n v="1196"/>
    <s v="Credit"/>
    <x v="1"/>
    <x v="1"/>
  </r>
  <r>
    <n v="5144"/>
    <d v="2025-02-18T00:00:00"/>
    <x v="3"/>
    <x v="0"/>
    <x v="2"/>
    <x v="5"/>
    <s v="Variable"/>
    <n v="1190"/>
    <s v="Bank Transfer"/>
    <x v="0"/>
    <x v="0"/>
  </r>
  <r>
    <n v="5174"/>
    <d v="2025-02-22T00:00:00"/>
    <x v="3"/>
    <x v="4"/>
    <x v="1"/>
    <x v="4"/>
    <s v="Variable"/>
    <n v="1101"/>
    <s v="Credit"/>
    <x v="1"/>
    <x v="1"/>
  </r>
  <r>
    <n v="5091"/>
    <d v="2025-04-07T00:00:00"/>
    <x v="0"/>
    <x v="2"/>
    <x v="1"/>
    <x v="5"/>
    <s v="Variable"/>
    <n v="1005"/>
    <s v="Cash"/>
    <x v="0"/>
    <x v="0"/>
  </r>
  <r>
    <n v="5281"/>
    <d v="2025-04-04T00:00:00"/>
    <x v="0"/>
    <x v="3"/>
    <x v="0"/>
    <x v="4"/>
    <s v="Variable"/>
    <n v="902"/>
    <s v="Credit"/>
    <x v="1"/>
    <x v="1"/>
  </r>
  <r>
    <n v="5218"/>
    <d v="2025-03-05T00:00:00"/>
    <x v="1"/>
    <x v="4"/>
    <x v="0"/>
    <x v="5"/>
    <s v="Variable"/>
    <n v="879"/>
    <s v="Credit"/>
    <x v="1"/>
    <x v="1"/>
  </r>
  <r>
    <n v="5238"/>
    <d v="2025-03-28T00:00:00"/>
    <x v="1"/>
    <x v="3"/>
    <x v="1"/>
    <x v="3"/>
    <s v="Variable"/>
    <n v="812"/>
    <s v="Cash"/>
    <x v="0"/>
    <x v="0"/>
  </r>
  <r>
    <n v="5000"/>
    <d v="2025-02-07T00:00:00"/>
    <x v="3"/>
    <x v="2"/>
    <x v="2"/>
    <x v="2"/>
    <s v="Fixed"/>
    <n v="735"/>
    <s v="Credit"/>
    <x v="0"/>
    <x v="0"/>
  </r>
  <r>
    <n v="5004"/>
    <d v="2025-03-06T00:00:00"/>
    <x v="1"/>
    <x v="0"/>
    <x v="3"/>
    <x v="2"/>
    <s v="Fixed"/>
    <n v="644"/>
    <s v="Bank Transfer"/>
    <x v="1"/>
    <x v="1"/>
  </r>
  <r>
    <n v="5291"/>
    <d v="2025-01-18T00:00:00"/>
    <x v="2"/>
    <x v="2"/>
    <x v="1"/>
    <x v="0"/>
    <s v="Variable"/>
    <n v="571"/>
    <s v="Cash"/>
    <x v="0"/>
    <x v="0"/>
  </r>
  <r>
    <n v="5237"/>
    <d v="2025-01-06T00:00:00"/>
    <x v="2"/>
    <x v="2"/>
    <x v="3"/>
    <x v="0"/>
    <s v="Variable"/>
    <n v="542"/>
    <s v="Credit"/>
    <x v="0"/>
    <x v="0"/>
  </r>
  <r>
    <n v="5082"/>
    <d v="2025-02-12T00:00:00"/>
    <x v="3"/>
    <x v="4"/>
    <x v="0"/>
    <x v="2"/>
    <s v="Fixed"/>
    <n v="520"/>
    <s v="Credit"/>
    <x v="1"/>
    <x v="1"/>
  </r>
  <r>
    <n v="5028"/>
    <d v="2025-04-26T00:00:00"/>
    <x v="0"/>
    <x v="1"/>
    <x v="1"/>
    <x v="0"/>
    <s v="Variable"/>
    <n v="515"/>
    <s v="Credit"/>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149904-D1D5-49C9-9EC0-72B66075B9A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3:G20" firstHeaderRow="1" firstDataRow="1" firstDataCol="1"/>
  <pivotFields count="11">
    <pivotField showAll="0"/>
    <pivotField numFmtId="165" showAll="0"/>
    <pivotField showAll="0"/>
    <pivotField showAll="0"/>
    <pivotField showAll="0"/>
    <pivotField axis="axisRow" showAll="0">
      <items count="7">
        <item x="4"/>
        <item x="0"/>
        <item x="3"/>
        <item x="2"/>
        <item x="1"/>
        <item x="5"/>
        <item t="default"/>
      </items>
    </pivotField>
    <pivotField showAll="0"/>
    <pivotField dataField="1" numFmtId="166" showAll="0"/>
    <pivotField showAll="0"/>
    <pivotField showAll="0"/>
    <pivotField showAll="0"/>
  </pivotFields>
  <rowFields count="1">
    <field x="5"/>
  </rowFields>
  <rowItems count="7">
    <i>
      <x/>
    </i>
    <i>
      <x v="1"/>
    </i>
    <i>
      <x v="2"/>
    </i>
    <i>
      <x v="3"/>
    </i>
    <i>
      <x v="4"/>
    </i>
    <i>
      <x v="5"/>
    </i>
    <i t="grand">
      <x/>
    </i>
  </rowItems>
  <colItems count="1">
    <i/>
  </colItems>
  <dataFields count="1">
    <dataField name="Sum of Amount" fld="7" baseField="0" baseItem="0" numFmtId="166"/>
  </dataFields>
  <formats count="10">
    <format dxfId="9">
      <pivotArea field="5" type="button" dataOnly="0" labelOnly="1" outline="0" axis="axisRow" fieldPosition="0"/>
    </format>
    <format dxfId="8">
      <pivotArea dataOnly="0" labelOnly="1" outline="0" axis="axisValues" fieldPosition="0"/>
    </format>
    <format dxfId="7">
      <pivotArea field="5" type="button" dataOnly="0" labelOnly="1" outline="0" axis="axisRow" fieldPosition="0"/>
    </format>
    <format dxfId="6">
      <pivotArea dataOnly="0" labelOnly="1" outline="0" axis="axisValues" fieldPosition="0"/>
    </format>
    <format dxfId="5">
      <pivotArea grandRow="1" outline="0" collapsedLevelsAreSubtotals="1" fieldPosition="0"/>
    </format>
    <format dxfId="4">
      <pivotArea dataOnly="0" labelOnly="1" grandRow="1" outline="0" fieldPosition="0"/>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07A48A-39CF-4C04-9094-DD785E6169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4:K19" firstHeaderRow="1" firstDataRow="1" firstDataCol="1"/>
  <pivotFields count="11">
    <pivotField showAll="0"/>
    <pivotField numFmtId="165" showAll="0"/>
    <pivotField showAll="0"/>
    <pivotField showAll="0">
      <items count="6">
        <item x="2"/>
        <item x="1"/>
        <item x="3"/>
        <item x="0"/>
        <item x="4"/>
        <item t="default"/>
      </items>
    </pivotField>
    <pivotField axis="axisRow" showAll="0">
      <items count="5">
        <item x="3"/>
        <item x="0"/>
        <item x="1"/>
        <item x="2"/>
        <item t="default"/>
      </items>
    </pivotField>
    <pivotField showAll="0"/>
    <pivotField showAll="0"/>
    <pivotField dataField="1" numFmtId="166" showAll="0"/>
    <pivotField showAll="0"/>
    <pivotField showAll="0"/>
    <pivotField showAll="0"/>
  </pivotFields>
  <rowFields count="1">
    <field x="4"/>
  </rowFields>
  <rowItems count="5">
    <i>
      <x/>
    </i>
    <i>
      <x v="1"/>
    </i>
    <i>
      <x v="2"/>
    </i>
    <i>
      <x v="3"/>
    </i>
    <i t="grand">
      <x/>
    </i>
  </rowItems>
  <colItems count="1">
    <i/>
  </colItems>
  <dataFields count="1">
    <dataField name="Sum of Amount" fld="7" baseField="0" baseItem="0" numFmtId="166"/>
  </dataFields>
  <formats count="10">
    <format dxfId="19">
      <pivotArea field="4" type="button" dataOnly="0" labelOnly="1" outline="0" axis="axisRow" fieldPosition="0"/>
    </format>
    <format dxfId="18">
      <pivotArea dataOnly="0" labelOnly="1" outline="0" axis="axisValues" fieldPosition="0"/>
    </format>
    <format dxfId="17">
      <pivotArea field="4"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 dxfId="13">
      <pivotArea grandRow="1" outline="0" collapsedLevelsAreSubtotals="1" fieldPosition="0"/>
    </format>
    <format dxfId="12">
      <pivotArea dataOnly="0" labelOnly="1" grandRow="1" outline="0" fieldPosition="0"/>
    </format>
    <format dxfId="11">
      <pivotArea grandRow="1" outline="0" collapsedLevelsAreSubtotals="1" fieldPosition="0"/>
    </format>
    <format dxfId="10">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490955-CAD7-42E7-B1B3-9A854B13EC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3:D19" firstHeaderRow="1" firstDataRow="1" firstDataCol="1"/>
  <pivotFields count="11">
    <pivotField showAll="0"/>
    <pivotField numFmtId="165" showAll="0"/>
    <pivotField showAll="0">
      <items count="5">
        <item x="2"/>
        <item x="3"/>
        <item x="1"/>
        <item x="0"/>
        <item t="default"/>
      </items>
    </pivotField>
    <pivotField axis="axisRow" showAll="0">
      <items count="6">
        <item x="2"/>
        <item x="1"/>
        <item x="3"/>
        <item x="0"/>
        <item x="4"/>
        <item t="default"/>
      </items>
    </pivotField>
    <pivotField showAll="0">
      <items count="5">
        <item x="3"/>
        <item x="0"/>
        <item x="1"/>
        <item x="2"/>
        <item t="default"/>
      </items>
    </pivotField>
    <pivotField showAll="0">
      <items count="7">
        <item x="4"/>
        <item x="0"/>
        <item x="3"/>
        <item x="2"/>
        <item x="1"/>
        <item x="5"/>
        <item t="default"/>
      </items>
    </pivotField>
    <pivotField showAll="0"/>
    <pivotField dataField="1" numFmtId="166" showAll="0"/>
    <pivotField showAll="0"/>
    <pivotField showAll="0"/>
    <pivotField showAll="0"/>
  </pivotFields>
  <rowFields count="1">
    <field x="3"/>
  </rowFields>
  <rowItems count="6">
    <i>
      <x/>
    </i>
    <i>
      <x v="1"/>
    </i>
    <i>
      <x v="2"/>
    </i>
    <i>
      <x v="3"/>
    </i>
    <i>
      <x v="4"/>
    </i>
    <i t="grand">
      <x/>
    </i>
  </rowItems>
  <colItems count="1">
    <i/>
  </colItems>
  <dataFields count="1">
    <dataField name="Sum of Amount" fld="7" baseField="0" baseItem="0" numFmtId="166"/>
  </dataFields>
  <formats count="8">
    <format dxfId="27">
      <pivotArea field="3" type="button" dataOnly="0" labelOnly="1" outline="0" axis="axisRow" fieldPosition="0"/>
    </format>
    <format dxfId="26">
      <pivotArea dataOnly="0" labelOnly="1" outline="0" axis="axisValues" fieldPosition="0"/>
    </format>
    <format dxfId="25">
      <pivotArea field="3" type="button" dataOnly="0" labelOnly="1" outline="0" axis="axisRow" fieldPosition="0"/>
    </format>
    <format dxfId="24">
      <pivotArea dataOnly="0" labelOnly="1" outline="0" axis="axisValues" fieldPosition="0"/>
    </format>
    <format dxfId="23">
      <pivotArea dataOnly="0" grandRow="1" fieldPosition="0"/>
    </format>
    <format dxfId="22">
      <pivotArea dataOnly="0" grandRow="1" fieldPosition="0"/>
    </format>
    <format dxfId="21">
      <pivotArea grandRow="1" outline="0" collapsedLevelsAreSubtotals="1" fieldPosition="0"/>
    </format>
    <format dxfId="20">
      <pivotArea dataOnly="0" labelOnly="1" grandRow="1" outline="0"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AAC2D-4F63-4BEC-878F-9EDEBF5C75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7:D8" firstHeaderRow="1" firstDataRow="1" firstDataCol="0"/>
  <pivotFields count="11">
    <pivotField showAll="0"/>
    <pivotField numFmtId="165" showAll="0"/>
    <pivotField showAll="0"/>
    <pivotField showAll="0"/>
    <pivotField showAll="0"/>
    <pivotField showAll="0"/>
    <pivotField showAll="0"/>
    <pivotField dataField="1" numFmtId="166" showAll="0"/>
    <pivotField showAll="0"/>
    <pivotField showAll="0"/>
    <pivotField showAll="0"/>
  </pivotFields>
  <rowItems count="1">
    <i/>
  </rowItems>
  <colItems count="1">
    <i/>
  </colItems>
  <dataFields count="1">
    <dataField name="Total Expenses" fld="7" baseField="0" baseItem="0" numFmtId="166"/>
  </dataFields>
  <formats count="2">
    <format dxfId="29">
      <pivotArea dataOnly="0" labelOnly="1" outline="0" axis="axisValues"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0A83A8-1F2B-4613-89C3-F00C167983C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5:K10" firstHeaderRow="1" firstDataRow="1" firstDataCol="1"/>
  <pivotFields count="11">
    <pivotField showAll="0"/>
    <pivotField numFmtId="165" showAll="0"/>
    <pivotField axis="axisRow" showAll="0">
      <items count="5">
        <item x="2"/>
        <item x="3"/>
        <item x="1"/>
        <item x="0"/>
        <item t="default"/>
      </items>
    </pivotField>
    <pivotField showAll="0"/>
    <pivotField showAll="0"/>
    <pivotField showAll="0"/>
    <pivotField showAll="0"/>
    <pivotField dataField="1" numFmtId="166" showAll="0"/>
    <pivotField showAll="0"/>
    <pivotField showAll="0"/>
    <pivotField showAll="0"/>
  </pivotFields>
  <rowFields count="1">
    <field x="2"/>
  </rowFields>
  <rowItems count="5">
    <i>
      <x/>
    </i>
    <i>
      <x v="1"/>
    </i>
    <i>
      <x v="2"/>
    </i>
    <i>
      <x v="3"/>
    </i>
    <i t="grand">
      <x/>
    </i>
  </rowItems>
  <colItems count="1">
    <i/>
  </colItems>
  <dataFields count="1">
    <dataField name="Sum of Amount" fld="7" baseField="0" baseItem="0" numFmtId="166"/>
  </dataFields>
  <formats count="10">
    <format dxfId="39">
      <pivotArea field="2" type="button" dataOnly="0" labelOnly="1" outline="0" axis="axisRow" fieldPosition="0"/>
    </format>
    <format dxfId="38">
      <pivotArea dataOnly="0" labelOnly="1" outline="0" axis="axisValues" fieldPosition="0"/>
    </format>
    <format dxfId="37">
      <pivotArea field="2"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 dxfId="33">
      <pivotArea grandRow="1" outline="0" collapsedLevelsAreSubtotals="1" fieldPosition="0"/>
    </format>
    <format dxfId="32">
      <pivotArea dataOnly="0" labelOnly="1" grandRow="1" outline="0" fieldPosition="0"/>
    </format>
    <format dxfId="31">
      <pivotArea grandRow="1" outline="0" collapsedLevelsAreSubtotals="1" fieldPosition="0"/>
    </format>
    <format dxfId="30">
      <pivotArea dataOnly="0" labelOnly="1" grandRow="1" outline="0"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105537-C9E0-4DD4-B061-48081E0A76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H8" firstHeaderRow="0" firstDataRow="1" firstDataCol="1"/>
  <pivotFields count="11">
    <pivotField dataField="1" showAll="0"/>
    <pivotField numFmtId="165" showAll="0"/>
    <pivotField showAll="0"/>
    <pivotField showAll="0"/>
    <pivotField showAll="0"/>
    <pivotField showAll="0"/>
    <pivotField showAll="0"/>
    <pivotField numFmtId="166" showAll="0"/>
    <pivotField showAll="0"/>
    <pivotField axis="axisRow" showAll="0">
      <items count="3">
        <item x="1"/>
        <item x="0"/>
        <item t="default"/>
      </items>
    </pivotField>
    <pivotField dataField="1" showAll="0">
      <items count="3">
        <item x="1"/>
        <item x="0"/>
        <item t="default"/>
      </items>
    </pivotField>
  </pivotFields>
  <rowFields count="1">
    <field x="9"/>
  </rowFields>
  <rowItems count="3">
    <i>
      <x/>
    </i>
    <i>
      <x v="1"/>
    </i>
    <i t="grand">
      <x/>
    </i>
  </rowItems>
  <colFields count="1">
    <field x="-2"/>
  </colFields>
  <colItems count="2">
    <i>
      <x/>
    </i>
    <i i="1">
      <x v="1"/>
    </i>
  </colItems>
  <dataFields count="2">
    <dataField name="Count of Approval_Rate" fld="10" subtotal="count" baseField="9" baseItem="0"/>
    <dataField name="Count of Transaction_ID" fld="0" subtotal="count" baseField="9" baseItem="0"/>
  </dataFields>
  <formats count="10">
    <format dxfId="49">
      <pivotArea field="9" type="button" dataOnly="0" labelOnly="1" outline="0" axis="axisRow" fieldPosition="0"/>
    </format>
    <format dxfId="48">
      <pivotArea dataOnly="0" labelOnly="1" outline="0" fieldPosition="0">
        <references count="1">
          <reference field="4294967294" count="2">
            <x v="0"/>
            <x v="1"/>
          </reference>
        </references>
      </pivotArea>
    </format>
    <format dxfId="47">
      <pivotArea field="9" type="button" dataOnly="0" labelOnly="1" outline="0" axis="axisRow" fieldPosition="0"/>
    </format>
    <format dxfId="46">
      <pivotArea dataOnly="0" labelOnly="1" outline="0" fieldPosition="0">
        <references count="1">
          <reference field="4294967294" count="2">
            <x v="0"/>
            <x v="1"/>
          </reference>
        </references>
      </pivotArea>
    </format>
    <format dxfId="45">
      <pivotArea grandRow="1" outline="0" collapsedLevelsAreSubtotals="1" fieldPosition="0"/>
    </format>
    <format dxfId="44">
      <pivotArea dataOnly="0" labelOnly="1" grandRow="1" outline="0" fieldPosition="0"/>
    </format>
    <format dxfId="43">
      <pivotArea grandRow="1" outline="0" collapsedLevelsAreSubtotals="1" fieldPosition="0"/>
    </format>
    <format dxfId="42">
      <pivotArea dataOnly="0" labelOnly="1" grandRow="1" outline="0" fieldPosition="0"/>
    </format>
    <format dxfId="41">
      <pivotArea grandRow="1" outline="0" collapsedLevelsAreSubtotals="1" fieldPosition="0"/>
    </format>
    <format dxfId="4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0D40B14-C552-4A20-AC52-E7A93C695C39}" sourceName="Department">
  <pivotTables>
    <pivotTable tabId="3" name="PivotTable4"/>
  </pivotTables>
  <data>
    <tabular pivotCacheId="2020459415">
      <items count="5">
        <i x="2"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31C031-C936-4CCD-AC37-AEC67B9AC3A0}" sourceName="City">
  <pivotTables>
    <pivotTable tabId="3" name="PivotTable5"/>
  </pivotTables>
  <data>
    <tabular pivotCacheId="202045941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Type" xr10:uid="{7A8A1240-81F9-459E-893F-8F8413B011D2}" sourceName="Expense_Type">
  <pivotTables>
    <pivotTable tabId="3" name="PivotTable6"/>
  </pivotTables>
  <data>
    <tabular pivotCacheId="2020459415">
      <items count="6">
        <i x="4" s="1"/>
        <i x="0" s="1"/>
        <i x="3"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EAB6FFF-DECA-4B87-B474-1BCBC96C8EB6}" sourceName="Month">
  <pivotTables>
    <pivotTable tabId="3" name="PivotTable8"/>
  </pivotTables>
  <data>
    <tabular pivotCacheId="2020459415">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9B96E0F-C365-438C-91CB-3EA67C7DECFF}" cache="Slicer_Department" caption="Department" rowHeight="257175"/>
  <slicer name="City" xr10:uid="{E7E8C8BE-48A7-409D-AF62-01A9996C94B3}" cache="Slicer_City" caption="City" rowHeight="257175"/>
  <slicer name="Expense_Type" xr10:uid="{F69975E8-8D5D-490B-9395-02C358FDBDFE}" cache="Slicer_Expense_Type" caption="Expense_Type" rowHeight="257175"/>
  <slicer name="Month" xr10:uid="{078A6FE4-17C6-46EA-BFB3-EA352B3212EE}" cache="Slicer_Month" caption="Month"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C5D8C73-BF93-48E3-BB13-680F5F78F139}">
  <we:reference id="wa200009404" version="1.0.0.8" store="en-US" storeType="OMEX"/>
  <we:alternateReferences>
    <we:reference id="wa200009404" version="1.0.0.8" store="wa200009404" storeType="OMEX"/>
  </we:alternateReferences>
  <we:properties>
    <we:property name="claude.fileId" value="&quot;195d7c29-ac54-4fa5-8165-f4032d4542f0&quot;"/>
  </we:properties>
  <we:bindings/>
  <we:snapshot xmlns:r="http://schemas.openxmlformats.org/officeDocument/2006/relationships"/>
</we:webextension>
</file>

<file path=xl/webextensions/webextension2.xml><?xml version="1.0" encoding="utf-8"?>
<we:webextension xmlns:we="http://schemas.microsoft.com/office/webextensions/webextension/2010/11" id="{6614D41A-6133-4D12-8DFE-992621C33E64}">
  <we:reference id="wa200005502" version="1.0.0.13" store="en-US" storeType="OMEX"/>
  <we:alternateReferences>
    <we:reference id="wa200005502" version="1.0.0.13" store="wa200005502" storeType="OMEX"/>
  </we:alternateReferences>
  <we:properties>
    <we:property name="docId" value="&quot;xKHcZGMKe7nbB2ynJ7me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B5E0-4777-491A-9FFB-BE543425943A}">
  <dimension ref="A1:H301"/>
  <sheetViews>
    <sheetView tabSelected="1" workbookViewId="0">
      <selection activeCell="J18" sqref="J18"/>
    </sheetView>
  </sheetViews>
  <sheetFormatPr defaultRowHeight="15" x14ac:dyDescent="0.25"/>
  <cols>
    <col min="1" max="1" width="14" bestFit="1" customWidth="1"/>
    <col min="2" max="2" width="10.42578125" bestFit="1" customWidth="1"/>
    <col min="3" max="3" width="12.140625" bestFit="1" customWidth="1"/>
    <col min="4" max="4" width="9.7109375" bestFit="1" customWidth="1"/>
    <col min="5" max="5" width="13.140625" bestFit="1" customWidth="1"/>
    <col min="6" max="6" width="8.28515625" bestFit="1" customWidth="1"/>
    <col min="7" max="7" width="16.42578125" bestFit="1" customWidth="1"/>
    <col min="8" max="8" width="9.7109375" bestFit="1" customWidth="1"/>
  </cols>
  <sheetData>
    <row r="1" spans="1:8" s="2" customFormat="1" ht="15.75" x14ac:dyDescent="0.25">
      <c r="A1" s="3" t="s">
        <v>0</v>
      </c>
      <c r="B1" s="3" t="s">
        <v>1</v>
      </c>
      <c r="C1" s="3" t="s">
        <v>2</v>
      </c>
      <c r="D1" s="3" t="s">
        <v>3</v>
      </c>
      <c r="E1" s="3" t="s">
        <v>4</v>
      </c>
      <c r="F1" s="3" t="s">
        <v>5</v>
      </c>
      <c r="G1" s="3" t="s">
        <v>6</v>
      </c>
      <c r="H1" s="3" t="s">
        <v>7</v>
      </c>
    </row>
    <row r="2" spans="1:8" x14ac:dyDescent="0.25">
      <c r="A2">
        <v>5000</v>
      </c>
      <c r="B2" s="1">
        <v>45695</v>
      </c>
      <c r="C2" t="s">
        <v>8</v>
      </c>
      <c r="D2" t="s">
        <v>9</v>
      </c>
      <c r="E2" t="s">
        <v>10</v>
      </c>
      <c r="F2">
        <v>735</v>
      </c>
      <c r="G2" t="s">
        <v>11</v>
      </c>
      <c r="H2" t="s">
        <v>12</v>
      </c>
    </row>
    <row r="3" spans="1:8" x14ac:dyDescent="0.25">
      <c r="A3">
        <v>5001</v>
      </c>
      <c r="B3" s="1">
        <v>45670</v>
      </c>
      <c r="C3" t="s">
        <v>13</v>
      </c>
      <c r="D3" t="s">
        <v>14</v>
      </c>
      <c r="E3" t="s">
        <v>15</v>
      </c>
      <c r="F3">
        <v>5692</v>
      </c>
      <c r="G3" t="s">
        <v>16</v>
      </c>
      <c r="H3" t="s">
        <v>17</v>
      </c>
    </row>
    <row r="4" spans="1:8" x14ac:dyDescent="0.25">
      <c r="A4">
        <v>5002</v>
      </c>
      <c r="B4" s="1">
        <v>45667</v>
      </c>
      <c r="C4" t="s">
        <v>13</v>
      </c>
      <c r="D4" t="s">
        <v>14</v>
      </c>
      <c r="E4" t="s">
        <v>18</v>
      </c>
      <c r="F4">
        <v>11455</v>
      </c>
      <c r="G4" t="s">
        <v>19</v>
      </c>
      <c r="H4" t="s">
        <v>17</v>
      </c>
    </row>
    <row r="5" spans="1:8" x14ac:dyDescent="0.25">
      <c r="A5">
        <v>5003</v>
      </c>
      <c r="B5" s="1">
        <v>45663</v>
      </c>
      <c r="C5" t="s">
        <v>13</v>
      </c>
      <c r="D5" t="s">
        <v>20</v>
      </c>
      <c r="E5" t="s">
        <v>10</v>
      </c>
      <c r="F5">
        <v>19779</v>
      </c>
      <c r="G5" t="s">
        <v>16</v>
      </c>
      <c r="H5" t="s">
        <v>17</v>
      </c>
    </row>
    <row r="6" spans="1:8" x14ac:dyDescent="0.25">
      <c r="A6">
        <v>5004</v>
      </c>
      <c r="B6" s="1">
        <v>45722</v>
      </c>
      <c r="C6" t="s">
        <v>21</v>
      </c>
      <c r="D6" t="s">
        <v>22</v>
      </c>
      <c r="E6" t="s">
        <v>10</v>
      </c>
      <c r="F6">
        <v>644</v>
      </c>
      <c r="G6" t="s">
        <v>19</v>
      </c>
      <c r="H6" t="s">
        <v>17</v>
      </c>
    </row>
    <row r="7" spans="1:8" x14ac:dyDescent="0.25">
      <c r="A7">
        <v>5005</v>
      </c>
      <c r="B7" s="1">
        <v>45659</v>
      </c>
      <c r="C7" t="s">
        <v>23</v>
      </c>
      <c r="D7" t="s">
        <v>14</v>
      </c>
      <c r="E7" t="s">
        <v>24</v>
      </c>
      <c r="F7">
        <v>16832</v>
      </c>
      <c r="G7" t="s">
        <v>19</v>
      </c>
      <c r="H7" t="s">
        <v>12</v>
      </c>
    </row>
    <row r="8" spans="1:8" x14ac:dyDescent="0.25">
      <c r="A8">
        <v>5006</v>
      </c>
      <c r="B8" s="1">
        <v>45729</v>
      </c>
      <c r="C8" t="s">
        <v>25</v>
      </c>
      <c r="D8" t="s">
        <v>20</v>
      </c>
      <c r="E8" t="s">
        <v>18</v>
      </c>
      <c r="F8">
        <v>11489</v>
      </c>
      <c r="G8" t="s">
        <v>16</v>
      </c>
      <c r="H8" t="s">
        <v>17</v>
      </c>
    </row>
    <row r="9" spans="1:8" x14ac:dyDescent="0.25">
      <c r="A9">
        <v>5007</v>
      </c>
      <c r="B9" s="1">
        <v>45664</v>
      </c>
      <c r="C9" t="s">
        <v>13</v>
      </c>
      <c r="D9" t="s">
        <v>14</v>
      </c>
      <c r="E9" t="s">
        <v>26</v>
      </c>
      <c r="F9">
        <v>13145</v>
      </c>
      <c r="G9" t="s">
        <v>19</v>
      </c>
      <c r="H9" t="s">
        <v>17</v>
      </c>
    </row>
    <row r="10" spans="1:8" x14ac:dyDescent="0.25">
      <c r="A10">
        <v>5008</v>
      </c>
      <c r="B10" s="1">
        <v>45676</v>
      </c>
      <c r="C10" t="s">
        <v>8</v>
      </c>
      <c r="D10" t="s">
        <v>20</v>
      </c>
      <c r="E10" t="s">
        <v>18</v>
      </c>
      <c r="F10">
        <v>19400</v>
      </c>
      <c r="G10" t="s">
        <v>19</v>
      </c>
      <c r="H10" t="s">
        <v>12</v>
      </c>
    </row>
    <row r="11" spans="1:8" x14ac:dyDescent="0.25">
      <c r="A11">
        <v>5009</v>
      </c>
      <c r="B11" s="1">
        <v>45669</v>
      </c>
      <c r="C11" t="s">
        <v>25</v>
      </c>
      <c r="D11" t="s">
        <v>14</v>
      </c>
      <c r="E11" t="s">
        <v>27</v>
      </c>
      <c r="F11">
        <v>8944</v>
      </c>
      <c r="G11" t="s">
        <v>16</v>
      </c>
      <c r="H11" t="s">
        <v>12</v>
      </c>
    </row>
    <row r="12" spans="1:8" x14ac:dyDescent="0.25">
      <c r="A12">
        <v>5010</v>
      </c>
      <c r="B12" s="1">
        <v>45764</v>
      </c>
      <c r="C12" t="s">
        <v>25</v>
      </c>
      <c r="D12" t="s">
        <v>14</v>
      </c>
      <c r="E12" t="s">
        <v>27</v>
      </c>
      <c r="F12">
        <v>5264</v>
      </c>
      <c r="G12" t="s">
        <v>16</v>
      </c>
      <c r="H12" t="s">
        <v>12</v>
      </c>
    </row>
    <row r="13" spans="1:8" x14ac:dyDescent="0.25">
      <c r="A13">
        <v>5011</v>
      </c>
      <c r="B13" s="1">
        <v>45687</v>
      </c>
      <c r="C13" t="s">
        <v>13</v>
      </c>
      <c r="D13" t="s">
        <v>22</v>
      </c>
      <c r="E13" t="s">
        <v>18</v>
      </c>
      <c r="F13">
        <v>17446</v>
      </c>
      <c r="G13" t="s">
        <v>16</v>
      </c>
      <c r="H13" t="s">
        <v>12</v>
      </c>
    </row>
    <row r="14" spans="1:8" x14ac:dyDescent="0.25">
      <c r="A14">
        <v>5012</v>
      </c>
      <c r="B14" s="1">
        <v>45726</v>
      </c>
      <c r="C14" t="s">
        <v>23</v>
      </c>
      <c r="D14" t="s">
        <v>14</v>
      </c>
      <c r="E14" t="s">
        <v>26</v>
      </c>
      <c r="F14">
        <v>19933</v>
      </c>
      <c r="G14" t="s">
        <v>11</v>
      </c>
      <c r="H14" t="s">
        <v>12</v>
      </c>
    </row>
    <row r="15" spans="1:8" x14ac:dyDescent="0.25">
      <c r="A15">
        <v>5013</v>
      </c>
      <c r="B15" s="1">
        <v>45771</v>
      </c>
      <c r="C15" t="s">
        <v>25</v>
      </c>
      <c r="D15" t="s">
        <v>9</v>
      </c>
      <c r="E15" t="s">
        <v>18</v>
      </c>
      <c r="F15">
        <v>12242</v>
      </c>
      <c r="G15" t="s">
        <v>16</v>
      </c>
      <c r="H15" t="s">
        <v>17</v>
      </c>
    </row>
    <row r="16" spans="1:8" x14ac:dyDescent="0.25">
      <c r="A16">
        <v>5014</v>
      </c>
      <c r="B16" s="1">
        <v>45754</v>
      </c>
      <c r="C16" t="s">
        <v>25</v>
      </c>
      <c r="D16" t="s">
        <v>22</v>
      </c>
      <c r="E16" t="s">
        <v>27</v>
      </c>
      <c r="F16">
        <v>1610</v>
      </c>
      <c r="G16" t="s">
        <v>11</v>
      </c>
      <c r="H16" t="s">
        <v>12</v>
      </c>
    </row>
    <row r="17" spans="1:8" x14ac:dyDescent="0.25">
      <c r="A17">
        <v>5015</v>
      </c>
      <c r="B17" s="1">
        <v>45671</v>
      </c>
      <c r="C17" t="s">
        <v>13</v>
      </c>
      <c r="D17" t="s">
        <v>22</v>
      </c>
      <c r="E17" t="s">
        <v>15</v>
      </c>
      <c r="F17">
        <v>1531</v>
      </c>
      <c r="G17" t="s">
        <v>16</v>
      </c>
      <c r="H17" t="s">
        <v>12</v>
      </c>
    </row>
    <row r="18" spans="1:8" x14ac:dyDescent="0.25">
      <c r="A18">
        <v>5016</v>
      </c>
      <c r="B18" s="1">
        <v>45721</v>
      </c>
      <c r="C18" t="s">
        <v>23</v>
      </c>
      <c r="D18" t="s">
        <v>20</v>
      </c>
      <c r="E18" t="s">
        <v>26</v>
      </c>
      <c r="F18">
        <v>19761</v>
      </c>
      <c r="G18" t="s">
        <v>16</v>
      </c>
      <c r="H18" t="s">
        <v>12</v>
      </c>
    </row>
    <row r="19" spans="1:8" x14ac:dyDescent="0.25">
      <c r="A19">
        <v>5017</v>
      </c>
      <c r="B19" s="1">
        <v>45680</v>
      </c>
      <c r="C19" t="s">
        <v>25</v>
      </c>
      <c r="D19" t="s">
        <v>14</v>
      </c>
      <c r="E19" t="s">
        <v>18</v>
      </c>
      <c r="F19">
        <v>10029</v>
      </c>
      <c r="G19" t="s">
        <v>19</v>
      </c>
      <c r="H19" t="s">
        <v>12</v>
      </c>
    </row>
    <row r="20" spans="1:8" x14ac:dyDescent="0.25">
      <c r="A20">
        <v>5018</v>
      </c>
      <c r="B20" s="1">
        <v>45659</v>
      </c>
      <c r="C20" t="s">
        <v>21</v>
      </c>
      <c r="D20" t="s">
        <v>14</v>
      </c>
      <c r="E20" t="s">
        <v>27</v>
      </c>
      <c r="F20">
        <v>7271</v>
      </c>
      <c r="G20" t="s">
        <v>16</v>
      </c>
      <c r="H20" t="s">
        <v>12</v>
      </c>
    </row>
    <row r="21" spans="1:8" x14ac:dyDescent="0.25">
      <c r="A21">
        <v>5019</v>
      </c>
      <c r="B21" s="1">
        <v>45705</v>
      </c>
      <c r="C21" t="s">
        <v>13</v>
      </c>
      <c r="D21" t="s">
        <v>9</v>
      </c>
      <c r="E21" t="s">
        <v>27</v>
      </c>
      <c r="F21">
        <v>4574</v>
      </c>
      <c r="G21" t="s">
        <v>11</v>
      </c>
      <c r="H21" t="s">
        <v>12</v>
      </c>
    </row>
    <row r="22" spans="1:8" x14ac:dyDescent="0.25">
      <c r="A22">
        <v>5020</v>
      </c>
      <c r="B22" s="1">
        <v>45730</v>
      </c>
      <c r="C22" t="s">
        <v>8</v>
      </c>
      <c r="D22" t="s">
        <v>20</v>
      </c>
      <c r="E22" t="s">
        <v>24</v>
      </c>
      <c r="F22">
        <v>17426</v>
      </c>
      <c r="G22" t="s">
        <v>16</v>
      </c>
      <c r="H22" t="s">
        <v>17</v>
      </c>
    </row>
    <row r="23" spans="1:8" x14ac:dyDescent="0.25">
      <c r="A23">
        <v>5021</v>
      </c>
      <c r="B23" s="1">
        <v>45729</v>
      </c>
      <c r="C23" t="s">
        <v>25</v>
      </c>
      <c r="D23" t="s">
        <v>14</v>
      </c>
      <c r="E23" t="s">
        <v>18</v>
      </c>
      <c r="F23">
        <v>14199</v>
      </c>
      <c r="G23" t="s">
        <v>19</v>
      </c>
      <c r="H23" t="s">
        <v>12</v>
      </c>
    </row>
    <row r="24" spans="1:8" x14ac:dyDescent="0.25">
      <c r="A24">
        <v>5022</v>
      </c>
      <c r="B24" s="1">
        <v>45728</v>
      </c>
      <c r="C24" t="s">
        <v>23</v>
      </c>
      <c r="D24" t="s">
        <v>22</v>
      </c>
      <c r="E24" t="s">
        <v>18</v>
      </c>
      <c r="F24">
        <v>16777</v>
      </c>
      <c r="G24" t="s">
        <v>11</v>
      </c>
      <c r="H24" t="s">
        <v>12</v>
      </c>
    </row>
    <row r="25" spans="1:8" x14ac:dyDescent="0.25">
      <c r="A25">
        <v>5023</v>
      </c>
      <c r="B25" s="1">
        <v>45707</v>
      </c>
      <c r="C25" t="s">
        <v>23</v>
      </c>
      <c r="D25" t="s">
        <v>20</v>
      </c>
      <c r="E25" t="s">
        <v>24</v>
      </c>
      <c r="F25">
        <v>1837</v>
      </c>
      <c r="G25" t="s">
        <v>11</v>
      </c>
      <c r="H25" t="s">
        <v>17</v>
      </c>
    </row>
    <row r="26" spans="1:8" x14ac:dyDescent="0.25">
      <c r="A26">
        <v>5024</v>
      </c>
      <c r="B26" s="1">
        <v>45661</v>
      </c>
      <c r="C26" t="s">
        <v>8</v>
      </c>
      <c r="D26" t="s">
        <v>9</v>
      </c>
      <c r="E26" t="s">
        <v>26</v>
      </c>
      <c r="F26">
        <v>11532</v>
      </c>
      <c r="G26" t="s">
        <v>16</v>
      </c>
      <c r="H26" t="s">
        <v>12</v>
      </c>
    </row>
    <row r="27" spans="1:8" x14ac:dyDescent="0.25">
      <c r="A27">
        <v>5025</v>
      </c>
      <c r="B27" s="1">
        <v>45771</v>
      </c>
      <c r="C27" t="s">
        <v>23</v>
      </c>
      <c r="D27" t="s">
        <v>20</v>
      </c>
      <c r="E27" t="s">
        <v>10</v>
      </c>
      <c r="F27">
        <v>2112</v>
      </c>
      <c r="G27" t="s">
        <v>16</v>
      </c>
      <c r="H27" t="s">
        <v>17</v>
      </c>
    </row>
    <row r="28" spans="1:8" x14ac:dyDescent="0.25">
      <c r="A28">
        <v>5026</v>
      </c>
      <c r="B28" s="1">
        <v>45684</v>
      </c>
      <c r="C28" t="s">
        <v>23</v>
      </c>
      <c r="D28" t="s">
        <v>22</v>
      </c>
      <c r="E28" t="s">
        <v>26</v>
      </c>
      <c r="F28">
        <v>2344</v>
      </c>
      <c r="G28" t="s">
        <v>19</v>
      </c>
      <c r="H28" t="s">
        <v>17</v>
      </c>
    </row>
    <row r="29" spans="1:8" x14ac:dyDescent="0.25">
      <c r="A29">
        <v>5027</v>
      </c>
      <c r="B29" s="1">
        <v>45738</v>
      </c>
      <c r="C29" t="s">
        <v>25</v>
      </c>
      <c r="D29" t="s">
        <v>14</v>
      </c>
      <c r="E29" t="s">
        <v>26</v>
      </c>
      <c r="F29">
        <v>3169</v>
      </c>
      <c r="G29" t="s">
        <v>11</v>
      </c>
      <c r="H29" t="s">
        <v>12</v>
      </c>
    </row>
    <row r="30" spans="1:8" x14ac:dyDescent="0.25">
      <c r="A30">
        <v>5028</v>
      </c>
      <c r="B30" s="1">
        <v>45773</v>
      </c>
      <c r="C30" t="s">
        <v>23</v>
      </c>
      <c r="D30" t="s">
        <v>14</v>
      </c>
      <c r="E30" t="s">
        <v>24</v>
      </c>
      <c r="F30">
        <v>515</v>
      </c>
      <c r="G30" t="s">
        <v>11</v>
      </c>
      <c r="H30" t="s">
        <v>12</v>
      </c>
    </row>
    <row r="31" spans="1:8" x14ac:dyDescent="0.25">
      <c r="A31">
        <v>5029</v>
      </c>
      <c r="B31" s="1">
        <v>45722</v>
      </c>
      <c r="C31" t="s">
        <v>8</v>
      </c>
      <c r="D31" t="s">
        <v>20</v>
      </c>
      <c r="E31" t="s">
        <v>10</v>
      </c>
      <c r="F31">
        <v>19128</v>
      </c>
      <c r="G31" t="s">
        <v>11</v>
      </c>
      <c r="H31" t="s">
        <v>17</v>
      </c>
    </row>
    <row r="32" spans="1:8" x14ac:dyDescent="0.25">
      <c r="A32">
        <v>5030</v>
      </c>
      <c r="B32" s="1">
        <v>45683</v>
      </c>
      <c r="C32" t="s">
        <v>21</v>
      </c>
      <c r="D32" t="s">
        <v>22</v>
      </c>
      <c r="E32" t="s">
        <v>10</v>
      </c>
      <c r="F32">
        <v>12131</v>
      </c>
      <c r="G32" t="s">
        <v>19</v>
      </c>
      <c r="H32" t="s">
        <v>12</v>
      </c>
    </row>
    <row r="33" spans="1:8" x14ac:dyDescent="0.25">
      <c r="A33">
        <v>5031</v>
      </c>
      <c r="B33" s="1">
        <v>45756</v>
      </c>
      <c r="C33" t="s">
        <v>21</v>
      </c>
      <c r="D33" t="s">
        <v>9</v>
      </c>
      <c r="E33" t="s">
        <v>18</v>
      </c>
      <c r="F33">
        <v>14283</v>
      </c>
      <c r="G33" t="s">
        <v>11</v>
      </c>
      <c r="H33" t="s">
        <v>17</v>
      </c>
    </row>
    <row r="34" spans="1:8" x14ac:dyDescent="0.25">
      <c r="A34">
        <v>5032</v>
      </c>
      <c r="B34" s="1">
        <v>45665</v>
      </c>
      <c r="C34" t="s">
        <v>8</v>
      </c>
      <c r="D34" t="s">
        <v>22</v>
      </c>
      <c r="E34" t="s">
        <v>10</v>
      </c>
      <c r="F34">
        <v>1806</v>
      </c>
      <c r="G34" t="s">
        <v>16</v>
      </c>
      <c r="H34" t="s">
        <v>12</v>
      </c>
    </row>
    <row r="35" spans="1:8" x14ac:dyDescent="0.25">
      <c r="A35">
        <v>5033</v>
      </c>
      <c r="B35" s="1">
        <v>45683</v>
      </c>
      <c r="C35" t="s">
        <v>23</v>
      </c>
      <c r="D35" t="s">
        <v>22</v>
      </c>
      <c r="E35" t="s">
        <v>27</v>
      </c>
      <c r="F35">
        <v>10332</v>
      </c>
      <c r="G35" t="s">
        <v>19</v>
      </c>
      <c r="H35" t="s">
        <v>12</v>
      </c>
    </row>
    <row r="36" spans="1:8" x14ac:dyDescent="0.25">
      <c r="A36">
        <v>5034</v>
      </c>
      <c r="B36" s="1">
        <v>45680</v>
      </c>
      <c r="C36" t="s">
        <v>25</v>
      </c>
      <c r="D36" t="s">
        <v>9</v>
      </c>
      <c r="E36" t="s">
        <v>18</v>
      </c>
      <c r="F36">
        <v>14589</v>
      </c>
      <c r="G36" t="s">
        <v>16</v>
      </c>
      <c r="H36" t="s">
        <v>17</v>
      </c>
    </row>
    <row r="37" spans="1:8" x14ac:dyDescent="0.25">
      <c r="A37">
        <v>5035</v>
      </c>
      <c r="B37" s="1">
        <v>45725</v>
      </c>
      <c r="C37" t="s">
        <v>8</v>
      </c>
      <c r="D37" t="s">
        <v>9</v>
      </c>
      <c r="E37" t="s">
        <v>10</v>
      </c>
      <c r="F37">
        <v>19931</v>
      </c>
      <c r="G37" t="s">
        <v>19</v>
      </c>
      <c r="H37" t="s">
        <v>12</v>
      </c>
    </row>
    <row r="38" spans="1:8" x14ac:dyDescent="0.25">
      <c r="A38">
        <v>5036</v>
      </c>
      <c r="B38" s="1">
        <v>45681</v>
      </c>
      <c r="C38" t="s">
        <v>25</v>
      </c>
      <c r="D38" t="s">
        <v>20</v>
      </c>
      <c r="E38" t="s">
        <v>26</v>
      </c>
      <c r="F38">
        <v>3928</v>
      </c>
      <c r="G38" t="s">
        <v>19</v>
      </c>
      <c r="H38" t="s">
        <v>12</v>
      </c>
    </row>
    <row r="39" spans="1:8" x14ac:dyDescent="0.25">
      <c r="A39">
        <v>5037</v>
      </c>
      <c r="B39" s="1">
        <v>45685</v>
      </c>
      <c r="C39" t="s">
        <v>21</v>
      </c>
      <c r="D39" t="s">
        <v>20</v>
      </c>
      <c r="E39" t="s">
        <v>18</v>
      </c>
      <c r="F39">
        <v>15769</v>
      </c>
      <c r="G39" t="s">
        <v>11</v>
      </c>
      <c r="H39" t="s">
        <v>17</v>
      </c>
    </row>
    <row r="40" spans="1:8" x14ac:dyDescent="0.25">
      <c r="A40">
        <v>5038</v>
      </c>
      <c r="B40" s="1">
        <v>45715</v>
      </c>
      <c r="C40" t="s">
        <v>8</v>
      </c>
      <c r="D40" t="s">
        <v>20</v>
      </c>
      <c r="E40" t="s">
        <v>24</v>
      </c>
      <c r="F40">
        <v>11335</v>
      </c>
      <c r="G40" t="s">
        <v>19</v>
      </c>
      <c r="H40" t="s">
        <v>17</v>
      </c>
    </row>
    <row r="41" spans="1:8" x14ac:dyDescent="0.25">
      <c r="A41">
        <v>5039</v>
      </c>
      <c r="B41" s="1">
        <v>45696</v>
      </c>
      <c r="C41" t="s">
        <v>13</v>
      </c>
      <c r="D41" t="s">
        <v>9</v>
      </c>
      <c r="E41" t="s">
        <v>24</v>
      </c>
      <c r="F41">
        <v>17532</v>
      </c>
      <c r="G41" t="s">
        <v>16</v>
      </c>
      <c r="H41" t="s">
        <v>12</v>
      </c>
    </row>
    <row r="42" spans="1:8" x14ac:dyDescent="0.25">
      <c r="A42">
        <v>5040</v>
      </c>
      <c r="B42" s="1">
        <v>45690</v>
      </c>
      <c r="C42" t="s">
        <v>8</v>
      </c>
      <c r="D42" t="s">
        <v>22</v>
      </c>
      <c r="E42" t="s">
        <v>15</v>
      </c>
      <c r="F42">
        <v>12542</v>
      </c>
      <c r="G42" t="s">
        <v>11</v>
      </c>
      <c r="H42" t="s">
        <v>12</v>
      </c>
    </row>
    <row r="43" spans="1:8" x14ac:dyDescent="0.25">
      <c r="A43">
        <v>5041</v>
      </c>
      <c r="B43" s="1">
        <v>45681</v>
      </c>
      <c r="C43" t="s">
        <v>23</v>
      </c>
      <c r="D43" t="s">
        <v>20</v>
      </c>
      <c r="E43" t="s">
        <v>26</v>
      </c>
      <c r="F43">
        <v>2179</v>
      </c>
      <c r="G43" t="s">
        <v>16</v>
      </c>
      <c r="H43" t="s">
        <v>12</v>
      </c>
    </row>
    <row r="44" spans="1:8" x14ac:dyDescent="0.25">
      <c r="A44">
        <v>5042</v>
      </c>
      <c r="B44" s="1">
        <v>45769</v>
      </c>
      <c r="C44" t="s">
        <v>13</v>
      </c>
      <c r="D44" t="s">
        <v>20</v>
      </c>
      <c r="E44" t="s">
        <v>15</v>
      </c>
      <c r="F44">
        <v>7755</v>
      </c>
      <c r="G44" t="s">
        <v>16</v>
      </c>
      <c r="H44" t="s">
        <v>12</v>
      </c>
    </row>
    <row r="45" spans="1:8" x14ac:dyDescent="0.25">
      <c r="A45">
        <v>5043</v>
      </c>
      <c r="B45" s="1">
        <v>45683</v>
      </c>
      <c r="C45" t="s">
        <v>13</v>
      </c>
      <c r="D45" t="s">
        <v>9</v>
      </c>
      <c r="E45" t="s">
        <v>26</v>
      </c>
      <c r="F45">
        <v>4539</v>
      </c>
      <c r="G45" t="s">
        <v>16</v>
      </c>
      <c r="H45" t="s">
        <v>17</v>
      </c>
    </row>
    <row r="46" spans="1:8" x14ac:dyDescent="0.25">
      <c r="A46">
        <v>5044</v>
      </c>
      <c r="B46" s="1">
        <v>45773</v>
      </c>
      <c r="C46" t="s">
        <v>21</v>
      </c>
      <c r="D46" t="s">
        <v>14</v>
      </c>
      <c r="E46" t="s">
        <v>10</v>
      </c>
      <c r="F46">
        <v>1872</v>
      </c>
      <c r="G46" t="s">
        <v>19</v>
      </c>
      <c r="H46" t="s">
        <v>12</v>
      </c>
    </row>
    <row r="47" spans="1:8" x14ac:dyDescent="0.25">
      <c r="A47">
        <v>5045</v>
      </c>
      <c r="B47" s="1">
        <v>45732</v>
      </c>
      <c r="C47" t="s">
        <v>21</v>
      </c>
      <c r="D47" t="s">
        <v>20</v>
      </c>
      <c r="E47" t="s">
        <v>26</v>
      </c>
      <c r="F47">
        <v>1714</v>
      </c>
      <c r="G47" t="s">
        <v>16</v>
      </c>
      <c r="H47" t="s">
        <v>12</v>
      </c>
    </row>
    <row r="48" spans="1:8" x14ac:dyDescent="0.25">
      <c r="A48">
        <v>5046</v>
      </c>
      <c r="B48" s="1">
        <v>45704</v>
      </c>
      <c r="C48" t="s">
        <v>21</v>
      </c>
      <c r="D48" t="s">
        <v>22</v>
      </c>
      <c r="E48" t="s">
        <v>18</v>
      </c>
      <c r="F48">
        <v>6348</v>
      </c>
      <c r="G48" t="s">
        <v>19</v>
      </c>
      <c r="H48" t="s">
        <v>12</v>
      </c>
    </row>
    <row r="49" spans="1:8" x14ac:dyDescent="0.25">
      <c r="A49">
        <v>5047</v>
      </c>
      <c r="B49" s="1">
        <v>45681</v>
      </c>
      <c r="C49" t="s">
        <v>8</v>
      </c>
      <c r="D49" t="s">
        <v>14</v>
      </c>
      <c r="E49" t="s">
        <v>10</v>
      </c>
      <c r="F49">
        <v>5291</v>
      </c>
      <c r="G49" t="s">
        <v>11</v>
      </c>
      <c r="H49" t="s">
        <v>12</v>
      </c>
    </row>
    <row r="50" spans="1:8" x14ac:dyDescent="0.25">
      <c r="A50">
        <v>5048</v>
      </c>
      <c r="B50" s="1">
        <v>45723</v>
      </c>
      <c r="C50" t="s">
        <v>25</v>
      </c>
      <c r="D50" t="s">
        <v>20</v>
      </c>
      <c r="E50" t="s">
        <v>18</v>
      </c>
      <c r="F50">
        <v>14181</v>
      </c>
      <c r="G50" t="s">
        <v>19</v>
      </c>
      <c r="H50" t="s">
        <v>17</v>
      </c>
    </row>
    <row r="51" spans="1:8" x14ac:dyDescent="0.25">
      <c r="A51">
        <v>5049</v>
      </c>
      <c r="B51" s="1">
        <v>45735</v>
      </c>
      <c r="C51" t="s">
        <v>25</v>
      </c>
      <c r="D51" t="s">
        <v>14</v>
      </c>
      <c r="E51" t="s">
        <v>10</v>
      </c>
      <c r="F51">
        <v>10487</v>
      </c>
      <c r="G51" t="s">
        <v>16</v>
      </c>
      <c r="H51" t="s">
        <v>17</v>
      </c>
    </row>
    <row r="52" spans="1:8" x14ac:dyDescent="0.25">
      <c r="A52">
        <v>5050</v>
      </c>
      <c r="B52" s="1">
        <v>45658</v>
      </c>
      <c r="C52" t="s">
        <v>21</v>
      </c>
      <c r="D52" t="s">
        <v>14</v>
      </c>
      <c r="E52" t="s">
        <v>26</v>
      </c>
      <c r="F52">
        <v>16876</v>
      </c>
      <c r="G52" t="s">
        <v>19</v>
      </c>
      <c r="H52" t="s">
        <v>17</v>
      </c>
    </row>
    <row r="53" spans="1:8" x14ac:dyDescent="0.25">
      <c r="A53">
        <v>5051</v>
      </c>
      <c r="B53" s="1">
        <v>45735</v>
      </c>
      <c r="C53" t="s">
        <v>8</v>
      </c>
      <c r="D53" t="s">
        <v>9</v>
      </c>
      <c r="E53" t="s">
        <v>27</v>
      </c>
      <c r="F53">
        <v>18682</v>
      </c>
      <c r="G53" t="s">
        <v>11</v>
      </c>
      <c r="H53" t="s">
        <v>12</v>
      </c>
    </row>
    <row r="54" spans="1:8" x14ac:dyDescent="0.25">
      <c r="A54">
        <v>5052</v>
      </c>
      <c r="B54" s="1">
        <v>45710</v>
      </c>
      <c r="C54" t="s">
        <v>13</v>
      </c>
      <c r="D54" t="s">
        <v>14</v>
      </c>
      <c r="E54" t="s">
        <v>10</v>
      </c>
      <c r="F54">
        <v>18362</v>
      </c>
      <c r="G54" t="s">
        <v>11</v>
      </c>
      <c r="H54" t="s">
        <v>17</v>
      </c>
    </row>
    <row r="55" spans="1:8" x14ac:dyDescent="0.25">
      <c r="A55">
        <v>5053</v>
      </c>
      <c r="B55" s="1">
        <v>45660</v>
      </c>
      <c r="C55" t="s">
        <v>23</v>
      </c>
      <c r="D55" t="s">
        <v>20</v>
      </c>
      <c r="E55" t="s">
        <v>27</v>
      </c>
      <c r="F55">
        <v>4559</v>
      </c>
      <c r="G55" t="s">
        <v>19</v>
      </c>
      <c r="H55" t="s">
        <v>12</v>
      </c>
    </row>
    <row r="56" spans="1:8" x14ac:dyDescent="0.25">
      <c r="A56">
        <v>5054</v>
      </c>
      <c r="B56" s="1">
        <v>45679</v>
      </c>
      <c r="C56" t="s">
        <v>21</v>
      </c>
      <c r="D56" t="s">
        <v>14</v>
      </c>
      <c r="E56" t="s">
        <v>18</v>
      </c>
      <c r="F56">
        <v>1215</v>
      </c>
      <c r="G56" t="s">
        <v>19</v>
      </c>
      <c r="H56" t="s">
        <v>12</v>
      </c>
    </row>
    <row r="57" spans="1:8" x14ac:dyDescent="0.25">
      <c r="A57">
        <v>5055</v>
      </c>
      <c r="B57" s="1">
        <v>45665</v>
      </c>
      <c r="C57" t="s">
        <v>21</v>
      </c>
      <c r="D57" t="s">
        <v>20</v>
      </c>
      <c r="E57" t="s">
        <v>24</v>
      </c>
      <c r="F57">
        <v>6721</v>
      </c>
      <c r="G57" t="s">
        <v>11</v>
      </c>
      <c r="H57" t="s">
        <v>12</v>
      </c>
    </row>
    <row r="58" spans="1:8" x14ac:dyDescent="0.25">
      <c r="A58">
        <v>5056</v>
      </c>
      <c r="B58" s="1">
        <v>45730</v>
      </c>
      <c r="C58" t="s">
        <v>13</v>
      </c>
      <c r="D58" t="s">
        <v>9</v>
      </c>
      <c r="E58" t="s">
        <v>27</v>
      </c>
      <c r="F58">
        <v>8000</v>
      </c>
      <c r="G58" t="s">
        <v>16</v>
      </c>
      <c r="H58" t="s">
        <v>17</v>
      </c>
    </row>
    <row r="59" spans="1:8" x14ac:dyDescent="0.25">
      <c r="A59">
        <v>5057</v>
      </c>
      <c r="B59" s="1">
        <v>45701</v>
      </c>
      <c r="C59" t="s">
        <v>25</v>
      </c>
      <c r="D59" t="s">
        <v>14</v>
      </c>
      <c r="E59" t="s">
        <v>18</v>
      </c>
      <c r="F59">
        <v>13320</v>
      </c>
      <c r="G59" t="s">
        <v>16</v>
      </c>
      <c r="H59" t="s">
        <v>12</v>
      </c>
    </row>
    <row r="60" spans="1:8" x14ac:dyDescent="0.25">
      <c r="A60">
        <v>5058</v>
      </c>
      <c r="B60" s="1">
        <v>45688</v>
      </c>
      <c r="C60" t="s">
        <v>23</v>
      </c>
      <c r="D60" t="s">
        <v>9</v>
      </c>
      <c r="E60" t="s">
        <v>18</v>
      </c>
      <c r="F60">
        <v>10264</v>
      </c>
      <c r="G60" t="s">
        <v>11</v>
      </c>
      <c r="H60" t="s">
        <v>17</v>
      </c>
    </row>
    <row r="61" spans="1:8" x14ac:dyDescent="0.25">
      <c r="A61">
        <v>5059</v>
      </c>
      <c r="B61" s="1">
        <v>45761</v>
      </c>
      <c r="C61" t="s">
        <v>8</v>
      </c>
      <c r="D61" t="s">
        <v>14</v>
      </c>
      <c r="E61" t="s">
        <v>10</v>
      </c>
      <c r="F61">
        <v>10491</v>
      </c>
      <c r="G61" t="s">
        <v>16</v>
      </c>
      <c r="H61" t="s">
        <v>17</v>
      </c>
    </row>
    <row r="62" spans="1:8" x14ac:dyDescent="0.25">
      <c r="A62">
        <v>5060</v>
      </c>
      <c r="B62" s="1">
        <v>45703</v>
      </c>
      <c r="C62" t="s">
        <v>23</v>
      </c>
      <c r="D62" t="s">
        <v>22</v>
      </c>
      <c r="E62" t="s">
        <v>15</v>
      </c>
      <c r="F62">
        <v>13752</v>
      </c>
      <c r="G62" t="s">
        <v>11</v>
      </c>
      <c r="H62" t="s">
        <v>17</v>
      </c>
    </row>
    <row r="63" spans="1:8" x14ac:dyDescent="0.25">
      <c r="A63">
        <v>5061</v>
      </c>
      <c r="B63" s="1">
        <v>45715</v>
      </c>
      <c r="C63" t="s">
        <v>23</v>
      </c>
      <c r="D63" t="s">
        <v>14</v>
      </c>
      <c r="E63" t="s">
        <v>18</v>
      </c>
      <c r="F63">
        <v>12516</v>
      </c>
      <c r="G63" t="s">
        <v>19</v>
      </c>
      <c r="H63" t="s">
        <v>12</v>
      </c>
    </row>
    <row r="64" spans="1:8" x14ac:dyDescent="0.25">
      <c r="A64">
        <v>5062</v>
      </c>
      <c r="B64" s="1">
        <v>45740</v>
      </c>
      <c r="C64" t="s">
        <v>13</v>
      </c>
      <c r="D64" t="s">
        <v>9</v>
      </c>
      <c r="E64" t="s">
        <v>26</v>
      </c>
      <c r="F64">
        <v>16980</v>
      </c>
      <c r="G64" t="s">
        <v>11</v>
      </c>
      <c r="H64" t="s">
        <v>12</v>
      </c>
    </row>
    <row r="65" spans="1:8" x14ac:dyDescent="0.25">
      <c r="A65">
        <v>5063</v>
      </c>
      <c r="B65" s="1">
        <v>45671</v>
      </c>
      <c r="C65" t="s">
        <v>25</v>
      </c>
      <c r="D65" t="s">
        <v>14</v>
      </c>
      <c r="E65" t="s">
        <v>15</v>
      </c>
      <c r="F65">
        <v>11774</v>
      </c>
      <c r="G65" t="s">
        <v>16</v>
      </c>
      <c r="H65" t="s">
        <v>12</v>
      </c>
    </row>
    <row r="66" spans="1:8" x14ac:dyDescent="0.25">
      <c r="A66">
        <v>5064</v>
      </c>
      <c r="B66" s="1">
        <v>45681</v>
      </c>
      <c r="C66" t="s">
        <v>21</v>
      </c>
      <c r="D66" t="s">
        <v>22</v>
      </c>
      <c r="E66" t="s">
        <v>27</v>
      </c>
      <c r="F66">
        <v>16752</v>
      </c>
      <c r="G66" t="s">
        <v>19</v>
      </c>
      <c r="H66" t="s">
        <v>12</v>
      </c>
    </row>
    <row r="67" spans="1:8" x14ac:dyDescent="0.25">
      <c r="A67">
        <v>5065</v>
      </c>
      <c r="B67" s="1">
        <v>45739</v>
      </c>
      <c r="C67" t="s">
        <v>8</v>
      </c>
      <c r="D67" t="s">
        <v>14</v>
      </c>
      <c r="E67" t="s">
        <v>18</v>
      </c>
      <c r="F67">
        <v>17773</v>
      </c>
      <c r="G67" t="s">
        <v>11</v>
      </c>
      <c r="H67" t="s">
        <v>12</v>
      </c>
    </row>
    <row r="68" spans="1:8" x14ac:dyDescent="0.25">
      <c r="A68">
        <v>5066</v>
      </c>
      <c r="B68" s="1">
        <v>45682</v>
      </c>
      <c r="C68" t="s">
        <v>8</v>
      </c>
      <c r="D68" t="s">
        <v>9</v>
      </c>
      <c r="E68" t="s">
        <v>26</v>
      </c>
      <c r="F68">
        <v>16336</v>
      </c>
      <c r="G68" t="s">
        <v>16</v>
      </c>
      <c r="H68" t="s">
        <v>12</v>
      </c>
    </row>
    <row r="69" spans="1:8" x14ac:dyDescent="0.25">
      <c r="A69">
        <v>5067</v>
      </c>
      <c r="B69" s="1">
        <v>45678</v>
      </c>
      <c r="C69" t="s">
        <v>13</v>
      </c>
      <c r="D69" t="s">
        <v>22</v>
      </c>
      <c r="E69" t="s">
        <v>18</v>
      </c>
      <c r="F69">
        <v>11156</v>
      </c>
      <c r="G69" t="s">
        <v>11</v>
      </c>
      <c r="H69" t="s">
        <v>17</v>
      </c>
    </row>
    <row r="70" spans="1:8" x14ac:dyDescent="0.25">
      <c r="A70">
        <v>5068</v>
      </c>
      <c r="B70" s="1">
        <v>45670</v>
      </c>
      <c r="C70" t="s">
        <v>23</v>
      </c>
      <c r="D70" t="s">
        <v>9</v>
      </c>
      <c r="E70" t="s">
        <v>26</v>
      </c>
      <c r="F70">
        <v>16053</v>
      </c>
      <c r="G70" t="s">
        <v>19</v>
      </c>
      <c r="H70" t="s">
        <v>17</v>
      </c>
    </row>
    <row r="71" spans="1:8" x14ac:dyDescent="0.25">
      <c r="A71">
        <v>5069</v>
      </c>
      <c r="B71" s="1">
        <v>45752</v>
      </c>
      <c r="C71" t="s">
        <v>13</v>
      </c>
      <c r="D71" t="s">
        <v>20</v>
      </c>
      <c r="E71" t="s">
        <v>18</v>
      </c>
      <c r="F71">
        <v>8240</v>
      </c>
      <c r="G71" t="s">
        <v>19</v>
      </c>
      <c r="H71" t="s">
        <v>12</v>
      </c>
    </row>
    <row r="72" spans="1:8" x14ac:dyDescent="0.25">
      <c r="A72">
        <v>5070</v>
      </c>
      <c r="B72" s="1">
        <v>45763</v>
      </c>
      <c r="C72" t="s">
        <v>13</v>
      </c>
      <c r="D72" t="s">
        <v>14</v>
      </c>
      <c r="E72" t="s">
        <v>15</v>
      </c>
      <c r="F72">
        <v>17036</v>
      </c>
      <c r="G72" t="s">
        <v>19</v>
      </c>
      <c r="H72" t="s">
        <v>12</v>
      </c>
    </row>
    <row r="73" spans="1:8" x14ac:dyDescent="0.25">
      <c r="A73">
        <v>5071</v>
      </c>
      <c r="B73" s="1">
        <v>45740</v>
      </c>
      <c r="C73" t="s">
        <v>8</v>
      </c>
      <c r="D73" t="s">
        <v>14</v>
      </c>
      <c r="E73" t="s">
        <v>24</v>
      </c>
      <c r="F73">
        <v>5479</v>
      </c>
      <c r="G73" t="s">
        <v>19</v>
      </c>
      <c r="H73" t="s">
        <v>12</v>
      </c>
    </row>
    <row r="74" spans="1:8" x14ac:dyDescent="0.25">
      <c r="A74">
        <v>5072</v>
      </c>
      <c r="B74" s="1">
        <v>45755</v>
      </c>
      <c r="C74" t="s">
        <v>8</v>
      </c>
      <c r="D74" t="s">
        <v>9</v>
      </c>
      <c r="E74" t="s">
        <v>15</v>
      </c>
      <c r="F74">
        <v>2678</v>
      </c>
      <c r="G74" t="s">
        <v>11</v>
      </c>
      <c r="H74" t="s">
        <v>12</v>
      </c>
    </row>
    <row r="75" spans="1:8" x14ac:dyDescent="0.25">
      <c r="A75">
        <v>5073</v>
      </c>
      <c r="B75" s="1">
        <v>45766</v>
      </c>
      <c r="C75" t="s">
        <v>25</v>
      </c>
      <c r="D75" t="s">
        <v>20</v>
      </c>
      <c r="E75" t="s">
        <v>15</v>
      </c>
      <c r="F75">
        <v>10448</v>
      </c>
      <c r="G75" t="s">
        <v>11</v>
      </c>
      <c r="H75" t="s">
        <v>12</v>
      </c>
    </row>
    <row r="76" spans="1:8" x14ac:dyDescent="0.25">
      <c r="A76">
        <v>5074</v>
      </c>
      <c r="B76" s="1">
        <v>45761</v>
      </c>
      <c r="C76" t="s">
        <v>21</v>
      </c>
      <c r="D76" t="s">
        <v>9</v>
      </c>
      <c r="E76" t="s">
        <v>18</v>
      </c>
      <c r="F76">
        <v>14678</v>
      </c>
      <c r="G76" t="s">
        <v>19</v>
      </c>
      <c r="H76" t="s">
        <v>17</v>
      </c>
    </row>
    <row r="77" spans="1:8" x14ac:dyDescent="0.25">
      <c r="A77">
        <v>5075</v>
      </c>
      <c r="B77" s="1">
        <v>45668</v>
      </c>
      <c r="C77" t="s">
        <v>13</v>
      </c>
      <c r="D77" t="s">
        <v>22</v>
      </c>
      <c r="E77" t="s">
        <v>26</v>
      </c>
      <c r="F77">
        <v>8362</v>
      </c>
      <c r="G77" t="s">
        <v>19</v>
      </c>
      <c r="H77" t="s">
        <v>12</v>
      </c>
    </row>
    <row r="78" spans="1:8" x14ac:dyDescent="0.25">
      <c r="A78">
        <v>5076</v>
      </c>
      <c r="B78" s="1">
        <v>45754</v>
      </c>
      <c r="C78" t="s">
        <v>13</v>
      </c>
      <c r="D78" t="s">
        <v>9</v>
      </c>
      <c r="E78" t="s">
        <v>15</v>
      </c>
      <c r="F78">
        <v>15325</v>
      </c>
      <c r="G78" t="s">
        <v>11</v>
      </c>
      <c r="H78" t="s">
        <v>12</v>
      </c>
    </row>
    <row r="79" spans="1:8" x14ac:dyDescent="0.25">
      <c r="A79">
        <v>5077</v>
      </c>
      <c r="B79" s="1">
        <v>45740</v>
      </c>
      <c r="C79" t="s">
        <v>13</v>
      </c>
      <c r="D79" t="s">
        <v>20</v>
      </c>
      <c r="E79" t="s">
        <v>10</v>
      </c>
      <c r="F79">
        <v>19402</v>
      </c>
      <c r="G79" t="s">
        <v>16</v>
      </c>
      <c r="H79" t="s">
        <v>17</v>
      </c>
    </row>
    <row r="80" spans="1:8" x14ac:dyDescent="0.25">
      <c r="A80">
        <v>5078</v>
      </c>
      <c r="B80" s="1">
        <v>45728</v>
      </c>
      <c r="C80" t="s">
        <v>25</v>
      </c>
      <c r="D80" t="s">
        <v>22</v>
      </c>
      <c r="E80" t="s">
        <v>27</v>
      </c>
      <c r="F80">
        <v>15542</v>
      </c>
      <c r="G80" t="s">
        <v>16</v>
      </c>
      <c r="H80" t="s">
        <v>12</v>
      </c>
    </row>
    <row r="81" spans="1:8" x14ac:dyDescent="0.25">
      <c r="A81">
        <v>5079</v>
      </c>
      <c r="B81" s="1">
        <v>45729</v>
      </c>
      <c r="C81" t="s">
        <v>13</v>
      </c>
      <c r="D81" t="s">
        <v>14</v>
      </c>
      <c r="E81" t="s">
        <v>15</v>
      </c>
      <c r="F81">
        <v>16859</v>
      </c>
      <c r="G81" t="s">
        <v>19</v>
      </c>
      <c r="H81" t="s">
        <v>17</v>
      </c>
    </row>
    <row r="82" spans="1:8" x14ac:dyDescent="0.25">
      <c r="A82">
        <v>5080</v>
      </c>
      <c r="B82" s="1">
        <v>45706</v>
      </c>
      <c r="C82" t="s">
        <v>8</v>
      </c>
      <c r="D82" t="s">
        <v>20</v>
      </c>
      <c r="E82" t="s">
        <v>27</v>
      </c>
      <c r="F82">
        <v>7683</v>
      </c>
      <c r="G82" t="s">
        <v>11</v>
      </c>
      <c r="H82" t="s">
        <v>12</v>
      </c>
    </row>
    <row r="83" spans="1:8" x14ac:dyDescent="0.25">
      <c r="A83">
        <v>5081</v>
      </c>
      <c r="B83" s="1">
        <v>45663</v>
      </c>
      <c r="C83" t="s">
        <v>8</v>
      </c>
      <c r="D83" t="s">
        <v>22</v>
      </c>
      <c r="E83" t="s">
        <v>18</v>
      </c>
      <c r="F83">
        <v>14213</v>
      </c>
      <c r="G83" t="s">
        <v>19</v>
      </c>
      <c r="H83" t="s">
        <v>17</v>
      </c>
    </row>
    <row r="84" spans="1:8" x14ac:dyDescent="0.25">
      <c r="A84">
        <v>5082</v>
      </c>
      <c r="B84" s="1">
        <v>45700</v>
      </c>
      <c r="C84" t="s">
        <v>25</v>
      </c>
      <c r="D84" t="s">
        <v>20</v>
      </c>
      <c r="E84" t="s">
        <v>10</v>
      </c>
      <c r="F84">
        <v>520</v>
      </c>
      <c r="G84" t="s">
        <v>11</v>
      </c>
      <c r="H84" t="s">
        <v>17</v>
      </c>
    </row>
    <row r="85" spans="1:8" x14ac:dyDescent="0.25">
      <c r="A85">
        <v>5083</v>
      </c>
      <c r="B85" s="1">
        <v>45776</v>
      </c>
      <c r="C85" t="s">
        <v>25</v>
      </c>
      <c r="D85" t="s">
        <v>22</v>
      </c>
      <c r="E85" t="s">
        <v>18</v>
      </c>
      <c r="F85">
        <v>18852</v>
      </c>
      <c r="G85" t="s">
        <v>19</v>
      </c>
      <c r="H85" t="s">
        <v>17</v>
      </c>
    </row>
    <row r="86" spans="1:8" x14ac:dyDescent="0.25">
      <c r="A86">
        <v>5084</v>
      </c>
      <c r="B86" s="1">
        <v>45680</v>
      </c>
      <c r="C86" t="s">
        <v>23</v>
      </c>
      <c r="D86" t="s">
        <v>22</v>
      </c>
      <c r="E86" t="s">
        <v>24</v>
      </c>
      <c r="F86">
        <v>7129</v>
      </c>
      <c r="G86" t="s">
        <v>19</v>
      </c>
      <c r="H86" t="s">
        <v>12</v>
      </c>
    </row>
    <row r="87" spans="1:8" x14ac:dyDescent="0.25">
      <c r="A87">
        <v>5085</v>
      </c>
      <c r="B87" s="1">
        <v>45671</v>
      </c>
      <c r="C87" t="s">
        <v>23</v>
      </c>
      <c r="D87" t="s">
        <v>9</v>
      </c>
      <c r="E87" t="s">
        <v>10</v>
      </c>
      <c r="F87">
        <v>2533</v>
      </c>
      <c r="G87" t="s">
        <v>19</v>
      </c>
      <c r="H87" t="s">
        <v>17</v>
      </c>
    </row>
    <row r="88" spans="1:8" x14ac:dyDescent="0.25">
      <c r="A88">
        <v>5086</v>
      </c>
      <c r="B88" s="1">
        <v>45772</v>
      </c>
      <c r="C88" t="s">
        <v>21</v>
      </c>
      <c r="D88" t="s">
        <v>22</v>
      </c>
      <c r="E88" t="s">
        <v>27</v>
      </c>
      <c r="F88">
        <v>17493</v>
      </c>
      <c r="G88" t="s">
        <v>19</v>
      </c>
      <c r="H88" t="s">
        <v>12</v>
      </c>
    </row>
    <row r="89" spans="1:8" x14ac:dyDescent="0.25">
      <c r="A89">
        <v>5087</v>
      </c>
      <c r="B89" s="1">
        <v>45711</v>
      </c>
      <c r="C89" t="s">
        <v>25</v>
      </c>
      <c r="D89" t="s">
        <v>14</v>
      </c>
      <c r="E89" t="s">
        <v>15</v>
      </c>
      <c r="F89">
        <v>2376</v>
      </c>
      <c r="G89" t="s">
        <v>19</v>
      </c>
      <c r="H89" t="s">
        <v>17</v>
      </c>
    </row>
    <row r="90" spans="1:8" x14ac:dyDescent="0.25">
      <c r="A90">
        <v>5088</v>
      </c>
      <c r="B90" s="1">
        <v>45668</v>
      </c>
      <c r="C90" t="s">
        <v>8</v>
      </c>
      <c r="D90" t="s">
        <v>14</v>
      </c>
      <c r="E90" t="s">
        <v>26</v>
      </c>
      <c r="F90">
        <v>17067</v>
      </c>
      <c r="G90" t="s">
        <v>19</v>
      </c>
      <c r="H90" t="s">
        <v>12</v>
      </c>
    </row>
    <row r="91" spans="1:8" x14ac:dyDescent="0.25">
      <c r="A91">
        <v>5089</v>
      </c>
      <c r="B91" s="1">
        <v>45719</v>
      </c>
      <c r="C91" t="s">
        <v>8</v>
      </c>
      <c r="D91" t="s">
        <v>20</v>
      </c>
      <c r="E91" t="s">
        <v>10</v>
      </c>
      <c r="F91">
        <v>8397</v>
      </c>
      <c r="G91" t="s">
        <v>19</v>
      </c>
      <c r="H91" t="s">
        <v>12</v>
      </c>
    </row>
    <row r="92" spans="1:8" x14ac:dyDescent="0.25">
      <c r="A92">
        <v>5090</v>
      </c>
      <c r="B92" s="1">
        <v>45679</v>
      </c>
      <c r="C92" t="s">
        <v>25</v>
      </c>
      <c r="D92" t="s">
        <v>14</v>
      </c>
      <c r="E92" t="s">
        <v>18</v>
      </c>
      <c r="F92">
        <v>3803</v>
      </c>
      <c r="G92" t="s">
        <v>16</v>
      </c>
      <c r="H92" t="s">
        <v>12</v>
      </c>
    </row>
    <row r="93" spans="1:8" x14ac:dyDescent="0.25">
      <c r="A93">
        <v>5091</v>
      </c>
      <c r="B93" s="1">
        <v>45754</v>
      </c>
      <c r="C93" t="s">
        <v>8</v>
      </c>
      <c r="D93" t="s">
        <v>14</v>
      </c>
      <c r="E93" t="s">
        <v>15</v>
      </c>
      <c r="F93">
        <v>1005</v>
      </c>
      <c r="G93" t="s">
        <v>16</v>
      </c>
      <c r="H93" t="s">
        <v>12</v>
      </c>
    </row>
    <row r="94" spans="1:8" x14ac:dyDescent="0.25">
      <c r="A94">
        <v>5092</v>
      </c>
      <c r="B94" s="1">
        <v>45741</v>
      </c>
      <c r="C94" t="s">
        <v>13</v>
      </c>
      <c r="D94" t="s">
        <v>20</v>
      </c>
      <c r="E94" t="s">
        <v>24</v>
      </c>
      <c r="F94">
        <v>5506</v>
      </c>
      <c r="G94" t="s">
        <v>16</v>
      </c>
      <c r="H94" t="s">
        <v>17</v>
      </c>
    </row>
    <row r="95" spans="1:8" x14ac:dyDescent="0.25">
      <c r="A95">
        <v>5093</v>
      </c>
      <c r="B95" s="1">
        <v>45671</v>
      </c>
      <c r="C95" t="s">
        <v>23</v>
      </c>
      <c r="D95" t="s">
        <v>22</v>
      </c>
      <c r="E95" t="s">
        <v>18</v>
      </c>
      <c r="F95">
        <v>11976</v>
      </c>
      <c r="G95" t="s">
        <v>11</v>
      </c>
      <c r="H95" t="s">
        <v>12</v>
      </c>
    </row>
    <row r="96" spans="1:8" x14ac:dyDescent="0.25">
      <c r="A96">
        <v>5094</v>
      </c>
      <c r="B96" s="1">
        <v>45774</v>
      </c>
      <c r="C96" t="s">
        <v>25</v>
      </c>
      <c r="D96" t="s">
        <v>9</v>
      </c>
      <c r="E96" t="s">
        <v>27</v>
      </c>
      <c r="F96">
        <v>4218</v>
      </c>
      <c r="G96" t="s">
        <v>19</v>
      </c>
      <c r="H96" t="s">
        <v>17</v>
      </c>
    </row>
    <row r="97" spans="1:8" x14ac:dyDescent="0.25">
      <c r="A97">
        <v>5095</v>
      </c>
      <c r="B97" s="1">
        <v>45735</v>
      </c>
      <c r="C97" t="s">
        <v>25</v>
      </c>
      <c r="D97" t="s">
        <v>14</v>
      </c>
      <c r="E97" t="s">
        <v>15</v>
      </c>
      <c r="F97">
        <v>1196</v>
      </c>
      <c r="G97" t="s">
        <v>11</v>
      </c>
      <c r="H97" t="s">
        <v>17</v>
      </c>
    </row>
    <row r="98" spans="1:8" x14ac:dyDescent="0.25">
      <c r="A98">
        <v>5096</v>
      </c>
      <c r="B98" s="1">
        <v>45717</v>
      </c>
      <c r="C98" t="s">
        <v>21</v>
      </c>
      <c r="D98" t="s">
        <v>9</v>
      </c>
      <c r="E98" t="s">
        <v>18</v>
      </c>
      <c r="F98">
        <v>15747</v>
      </c>
      <c r="G98" t="s">
        <v>16</v>
      </c>
      <c r="H98" t="s">
        <v>12</v>
      </c>
    </row>
    <row r="99" spans="1:8" x14ac:dyDescent="0.25">
      <c r="A99">
        <v>5097</v>
      </c>
      <c r="B99" s="1">
        <v>45682</v>
      </c>
      <c r="C99" t="s">
        <v>8</v>
      </c>
      <c r="D99" t="s">
        <v>9</v>
      </c>
      <c r="E99" t="s">
        <v>27</v>
      </c>
      <c r="F99">
        <v>13807</v>
      </c>
      <c r="G99" t="s">
        <v>16</v>
      </c>
      <c r="H99" t="s">
        <v>12</v>
      </c>
    </row>
    <row r="100" spans="1:8" x14ac:dyDescent="0.25">
      <c r="A100">
        <v>5098</v>
      </c>
      <c r="B100" s="1">
        <v>45667</v>
      </c>
      <c r="C100" t="s">
        <v>13</v>
      </c>
      <c r="D100" t="s">
        <v>22</v>
      </c>
      <c r="E100" t="s">
        <v>15</v>
      </c>
      <c r="F100">
        <v>9142</v>
      </c>
      <c r="G100" t="s">
        <v>19</v>
      </c>
      <c r="H100" t="s">
        <v>12</v>
      </c>
    </row>
    <row r="101" spans="1:8" x14ac:dyDescent="0.25">
      <c r="A101">
        <v>5099</v>
      </c>
      <c r="B101" s="1">
        <v>45729</v>
      </c>
      <c r="C101" t="s">
        <v>25</v>
      </c>
      <c r="D101" t="s">
        <v>22</v>
      </c>
      <c r="E101" t="s">
        <v>15</v>
      </c>
      <c r="F101">
        <v>19352</v>
      </c>
      <c r="G101" t="s">
        <v>19</v>
      </c>
      <c r="H101" t="s">
        <v>17</v>
      </c>
    </row>
    <row r="102" spans="1:8" x14ac:dyDescent="0.25">
      <c r="A102">
        <v>5100</v>
      </c>
      <c r="B102" s="1">
        <v>45759</v>
      </c>
      <c r="C102" t="s">
        <v>25</v>
      </c>
      <c r="D102" t="s">
        <v>14</v>
      </c>
      <c r="E102" t="s">
        <v>27</v>
      </c>
      <c r="F102">
        <v>19692</v>
      </c>
      <c r="G102" t="s">
        <v>19</v>
      </c>
      <c r="H102" t="s">
        <v>12</v>
      </c>
    </row>
    <row r="103" spans="1:8" x14ac:dyDescent="0.25">
      <c r="A103">
        <v>5101</v>
      </c>
      <c r="B103" s="1">
        <v>45679</v>
      </c>
      <c r="C103" t="s">
        <v>8</v>
      </c>
      <c r="D103" t="s">
        <v>22</v>
      </c>
      <c r="E103" t="s">
        <v>18</v>
      </c>
      <c r="F103">
        <v>12865</v>
      </c>
      <c r="G103" t="s">
        <v>11</v>
      </c>
      <c r="H103" t="s">
        <v>17</v>
      </c>
    </row>
    <row r="104" spans="1:8" x14ac:dyDescent="0.25">
      <c r="A104">
        <v>5102</v>
      </c>
      <c r="B104" s="1">
        <v>45749</v>
      </c>
      <c r="C104" t="s">
        <v>8</v>
      </c>
      <c r="D104" t="s">
        <v>22</v>
      </c>
      <c r="E104" t="s">
        <v>15</v>
      </c>
      <c r="F104">
        <v>19621</v>
      </c>
      <c r="G104" t="s">
        <v>11</v>
      </c>
      <c r="H104" t="s">
        <v>12</v>
      </c>
    </row>
    <row r="105" spans="1:8" x14ac:dyDescent="0.25">
      <c r="A105">
        <v>5103</v>
      </c>
      <c r="B105" s="1">
        <v>45771</v>
      </c>
      <c r="C105" t="s">
        <v>23</v>
      </c>
      <c r="D105" t="s">
        <v>14</v>
      </c>
      <c r="E105" t="s">
        <v>15</v>
      </c>
      <c r="F105">
        <v>1985</v>
      </c>
      <c r="G105" t="s">
        <v>16</v>
      </c>
      <c r="H105" t="s">
        <v>12</v>
      </c>
    </row>
    <row r="106" spans="1:8" x14ac:dyDescent="0.25">
      <c r="A106">
        <v>5104</v>
      </c>
      <c r="B106" s="1">
        <v>45698</v>
      </c>
      <c r="C106" t="s">
        <v>23</v>
      </c>
      <c r="D106" t="s">
        <v>20</v>
      </c>
      <c r="E106" t="s">
        <v>10</v>
      </c>
      <c r="F106">
        <v>6082</v>
      </c>
      <c r="G106" t="s">
        <v>16</v>
      </c>
      <c r="H106" t="s">
        <v>17</v>
      </c>
    </row>
    <row r="107" spans="1:8" x14ac:dyDescent="0.25">
      <c r="A107">
        <v>5105</v>
      </c>
      <c r="B107" s="1">
        <v>45703</v>
      </c>
      <c r="C107" t="s">
        <v>23</v>
      </c>
      <c r="D107" t="s">
        <v>9</v>
      </c>
      <c r="E107" t="s">
        <v>24</v>
      </c>
      <c r="F107">
        <v>12688</v>
      </c>
      <c r="G107" t="s">
        <v>11</v>
      </c>
      <c r="H107" t="s">
        <v>17</v>
      </c>
    </row>
    <row r="108" spans="1:8" x14ac:dyDescent="0.25">
      <c r="A108">
        <v>5106</v>
      </c>
      <c r="B108" s="1">
        <v>45764</v>
      </c>
      <c r="C108" t="s">
        <v>13</v>
      </c>
      <c r="D108" t="s">
        <v>22</v>
      </c>
      <c r="E108" t="s">
        <v>24</v>
      </c>
      <c r="F108">
        <v>16417</v>
      </c>
      <c r="G108" t="s">
        <v>11</v>
      </c>
      <c r="H108" t="s">
        <v>17</v>
      </c>
    </row>
    <row r="109" spans="1:8" x14ac:dyDescent="0.25">
      <c r="A109">
        <v>5107</v>
      </c>
      <c r="B109" s="1">
        <v>45725</v>
      </c>
      <c r="C109" t="s">
        <v>13</v>
      </c>
      <c r="D109" t="s">
        <v>14</v>
      </c>
      <c r="E109" t="s">
        <v>18</v>
      </c>
      <c r="F109">
        <v>15810</v>
      </c>
      <c r="G109" t="s">
        <v>16</v>
      </c>
      <c r="H109" t="s">
        <v>12</v>
      </c>
    </row>
    <row r="110" spans="1:8" x14ac:dyDescent="0.25">
      <c r="A110">
        <v>5108</v>
      </c>
      <c r="B110" s="1">
        <v>45704</v>
      </c>
      <c r="C110" t="s">
        <v>13</v>
      </c>
      <c r="D110" t="s">
        <v>9</v>
      </c>
      <c r="E110" t="s">
        <v>27</v>
      </c>
      <c r="F110">
        <v>5009</v>
      </c>
      <c r="G110" t="s">
        <v>19</v>
      </c>
      <c r="H110" t="s">
        <v>17</v>
      </c>
    </row>
    <row r="111" spans="1:8" x14ac:dyDescent="0.25">
      <c r="A111">
        <v>5109</v>
      </c>
      <c r="B111" s="1">
        <v>45721</v>
      </c>
      <c r="C111" t="s">
        <v>13</v>
      </c>
      <c r="D111" t="s">
        <v>20</v>
      </c>
      <c r="E111" t="s">
        <v>18</v>
      </c>
      <c r="F111">
        <v>17727</v>
      </c>
      <c r="G111" t="s">
        <v>16</v>
      </c>
      <c r="H111" t="s">
        <v>12</v>
      </c>
    </row>
    <row r="112" spans="1:8" x14ac:dyDescent="0.25">
      <c r="A112">
        <v>5110</v>
      </c>
      <c r="B112" s="1">
        <v>45693</v>
      </c>
      <c r="C112" t="s">
        <v>8</v>
      </c>
      <c r="D112" t="s">
        <v>9</v>
      </c>
      <c r="E112" t="s">
        <v>10</v>
      </c>
      <c r="F112">
        <v>13737</v>
      </c>
      <c r="G112" t="s">
        <v>11</v>
      </c>
      <c r="H112" t="s">
        <v>17</v>
      </c>
    </row>
    <row r="113" spans="1:8" x14ac:dyDescent="0.25">
      <c r="A113">
        <v>5111</v>
      </c>
      <c r="B113" s="1">
        <v>45751</v>
      </c>
      <c r="C113" t="s">
        <v>8</v>
      </c>
      <c r="D113" t="s">
        <v>9</v>
      </c>
      <c r="E113" t="s">
        <v>18</v>
      </c>
      <c r="F113">
        <v>11382</v>
      </c>
      <c r="G113" t="s">
        <v>11</v>
      </c>
      <c r="H113" t="s">
        <v>17</v>
      </c>
    </row>
    <row r="114" spans="1:8" x14ac:dyDescent="0.25">
      <c r="A114">
        <v>5112</v>
      </c>
      <c r="B114" s="1">
        <v>45742</v>
      </c>
      <c r="C114" t="s">
        <v>21</v>
      </c>
      <c r="D114" t="s">
        <v>20</v>
      </c>
      <c r="E114" t="s">
        <v>27</v>
      </c>
      <c r="F114">
        <v>5668</v>
      </c>
      <c r="G114" t="s">
        <v>11</v>
      </c>
      <c r="H114" t="s">
        <v>12</v>
      </c>
    </row>
    <row r="115" spans="1:8" x14ac:dyDescent="0.25">
      <c r="A115">
        <v>5113</v>
      </c>
      <c r="B115" s="1">
        <v>45712</v>
      </c>
      <c r="C115" t="s">
        <v>8</v>
      </c>
      <c r="D115" t="s">
        <v>9</v>
      </c>
      <c r="E115" t="s">
        <v>24</v>
      </c>
      <c r="F115">
        <v>8945</v>
      </c>
      <c r="G115" t="s">
        <v>11</v>
      </c>
      <c r="H115" t="s">
        <v>12</v>
      </c>
    </row>
    <row r="116" spans="1:8" x14ac:dyDescent="0.25">
      <c r="A116">
        <v>5114</v>
      </c>
      <c r="B116" s="1">
        <v>45686</v>
      </c>
      <c r="C116" t="s">
        <v>8</v>
      </c>
      <c r="D116" t="s">
        <v>22</v>
      </c>
      <c r="E116" t="s">
        <v>18</v>
      </c>
      <c r="F116">
        <v>15558</v>
      </c>
      <c r="G116" t="s">
        <v>19</v>
      </c>
      <c r="H116" t="s">
        <v>12</v>
      </c>
    </row>
    <row r="117" spans="1:8" x14ac:dyDescent="0.25">
      <c r="A117">
        <v>5115</v>
      </c>
      <c r="B117" s="1">
        <v>45689</v>
      </c>
      <c r="C117" t="s">
        <v>13</v>
      </c>
      <c r="D117" t="s">
        <v>20</v>
      </c>
      <c r="E117" t="s">
        <v>27</v>
      </c>
      <c r="F117">
        <v>17936</v>
      </c>
      <c r="G117" t="s">
        <v>19</v>
      </c>
      <c r="H117" t="s">
        <v>12</v>
      </c>
    </row>
    <row r="118" spans="1:8" x14ac:dyDescent="0.25">
      <c r="A118">
        <v>5116</v>
      </c>
      <c r="B118" s="1">
        <v>45752</v>
      </c>
      <c r="C118" t="s">
        <v>8</v>
      </c>
      <c r="D118" t="s">
        <v>14</v>
      </c>
      <c r="E118" t="s">
        <v>15</v>
      </c>
      <c r="F118">
        <v>13948</v>
      </c>
      <c r="G118" t="s">
        <v>19</v>
      </c>
      <c r="H118" t="s">
        <v>12</v>
      </c>
    </row>
    <row r="119" spans="1:8" x14ac:dyDescent="0.25">
      <c r="A119">
        <v>5117</v>
      </c>
      <c r="B119" s="1">
        <v>45767</v>
      </c>
      <c r="C119" t="s">
        <v>23</v>
      </c>
      <c r="D119" t="s">
        <v>20</v>
      </c>
      <c r="E119" t="s">
        <v>24</v>
      </c>
      <c r="F119">
        <v>15892</v>
      </c>
      <c r="G119" t="s">
        <v>19</v>
      </c>
      <c r="H119" t="s">
        <v>17</v>
      </c>
    </row>
    <row r="120" spans="1:8" x14ac:dyDescent="0.25">
      <c r="A120">
        <v>5118</v>
      </c>
      <c r="B120" s="1">
        <v>45666</v>
      </c>
      <c r="C120" t="s">
        <v>21</v>
      </c>
      <c r="D120" t="s">
        <v>9</v>
      </c>
      <c r="E120" t="s">
        <v>15</v>
      </c>
      <c r="F120">
        <v>6216</v>
      </c>
      <c r="G120" t="s">
        <v>11</v>
      </c>
      <c r="H120" t="s">
        <v>17</v>
      </c>
    </row>
    <row r="121" spans="1:8" x14ac:dyDescent="0.25">
      <c r="A121">
        <v>5119</v>
      </c>
      <c r="B121" s="1">
        <v>45735</v>
      </c>
      <c r="C121" t="s">
        <v>21</v>
      </c>
      <c r="D121" t="s">
        <v>22</v>
      </c>
      <c r="E121" t="s">
        <v>24</v>
      </c>
      <c r="F121">
        <v>17475</v>
      </c>
      <c r="G121" t="s">
        <v>19</v>
      </c>
      <c r="H121" t="s">
        <v>17</v>
      </c>
    </row>
    <row r="122" spans="1:8" x14ac:dyDescent="0.25">
      <c r="A122">
        <v>5120</v>
      </c>
      <c r="B122" s="1">
        <v>45699</v>
      </c>
      <c r="C122" t="s">
        <v>21</v>
      </c>
      <c r="D122" t="s">
        <v>20</v>
      </c>
      <c r="E122" t="s">
        <v>26</v>
      </c>
      <c r="F122">
        <v>17716</v>
      </c>
      <c r="G122" t="s">
        <v>16</v>
      </c>
      <c r="H122" t="s">
        <v>12</v>
      </c>
    </row>
    <row r="123" spans="1:8" x14ac:dyDescent="0.25">
      <c r="A123">
        <v>5121</v>
      </c>
      <c r="B123" s="1">
        <v>45766</v>
      </c>
      <c r="C123" t="s">
        <v>25</v>
      </c>
      <c r="D123" t="s">
        <v>22</v>
      </c>
      <c r="E123" t="s">
        <v>26</v>
      </c>
      <c r="F123">
        <v>5831</v>
      </c>
      <c r="G123" t="s">
        <v>11</v>
      </c>
      <c r="H123" t="s">
        <v>17</v>
      </c>
    </row>
    <row r="124" spans="1:8" x14ac:dyDescent="0.25">
      <c r="A124">
        <v>5122</v>
      </c>
      <c r="B124" s="1">
        <v>45682</v>
      </c>
      <c r="C124" t="s">
        <v>21</v>
      </c>
      <c r="D124" t="s">
        <v>14</v>
      </c>
      <c r="E124" t="s">
        <v>27</v>
      </c>
      <c r="F124">
        <v>9829</v>
      </c>
      <c r="G124" t="s">
        <v>19</v>
      </c>
      <c r="H124" t="s">
        <v>17</v>
      </c>
    </row>
    <row r="125" spans="1:8" x14ac:dyDescent="0.25">
      <c r="A125">
        <v>5123</v>
      </c>
      <c r="B125" s="1">
        <v>45764</v>
      </c>
      <c r="C125" t="s">
        <v>21</v>
      </c>
      <c r="D125" t="s">
        <v>22</v>
      </c>
      <c r="E125" t="s">
        <v>15</v>
      </c>
      <c r="F125">
        <v>2592</v>
      </c>
      <c r="G125" t="s">
        <v>19</v>
      </c>
      <c r="H125" t="s">
        <v>12</v>
      </c>
    </row>
    <row r="126" spans="1:8" x14ac:dyDescent="0.25">
      <c r="A126">
        <v>5124</v>
      </c>
      <c r="B126" s="1">
        <v>45673</v>
      </c>
      <c r="C126" t="s">
        <v>25</v>
      </c>
      <c r="D126" t="s">
        <v>22</v>
      </c>
      <c r="E126" t="s">
        <v>15</v>
      </c>
      <c r="F126">
        <v>2194</v>
      </c>
      <c r="G126" t="s">
        <v>11</v>
      </c>
      <c r="H126" t="s">
        <v>17</v>
      </c>
    </row>
    <row r="127" spans="1:8" x14ac:dyDescent="0.25">
      <c r="A127">
        <v>5125</v>
      </c>
      <c r="B127" s="1">
        <v>45749</v>
      </c>
      <c r="C127" t="s">
        <v>25</v>
      </c>
      <c r="D127" t="s">
        <v>22</v>
      </c>
      <c r="E127" t="s">
        <v>24</v>
      </c>
      <c r="F127">
        <v>11406</v>
      </c>
      <c r="G127" t="s">
        <v>11</v>
      </c>
      <c r="H127" t="s">
        <v>17</v>
      </c>
    </row>
    <row r="128" spans="1:8" x14ac:dyDescent="0.25">
      <c r="A128">
        <v>5126</v>
      </c>
      <c r="B128" s="1">
        <v>45765</v>
      </c>
      <c r="C128" t="s">
        <v>13</v>
      </c>
      <c r="D128" t="s">
        <v>14</v>
      </c>
      <c r="E128" t="s">
        <v>24</v>
      </c>
      <c r="F128">
        <v>9083</v>
      </c>
      <c r="G128" t="s">
        <v>19</v>
      </c>
      <c r="H128" t="s">
        <v>12</v>
      </c>
    </row>
    <row r="129" spans="1:8" x14ac:dyDescent="0.25">
      <c r="A129">
        <v>5127</v>
      </c>
      <c r="B129" s="1">
        <v>45757</v>
      </c>
      <c r="C129" t="s">
        <v>13</v>
      </c>
      <c r="D129" t="s">
        <v>20</v>
      </c>
      <c r="E129" t="s">
        <v>24</v>
      </c>
      <c r="F129">
        <v>18339</v>
      </c>
      <c r="G129" t="s">
        <v>19</v>
      </c>
      <c r="H129" t="s">
        <v>12</v>
      </c>
    </row>
    <row r="130" spans="1:8" x14ac:dyDescent="0.25">
      <c r="A130">
        <v>5128</v>
      </c>
      <c r="B130" s="1">
        <v>45768</v>
      </c>
      <c r="C130" t="s">
        <v>23</v>
      </c>
      <c r="D130" t="s">
        <v>20</v>
      </c>
      <c r="E130" t="s">
        <v>10</v>
      </c>
      <c r="F130">
        <v>11184</v>
      </c>
      <c r="G130" t="s">
        <v>11</v>
      </c>
      <c r="H130" t="s">
        <v>17</v>
      </c>
    </row>
    <row r="131" spans="1:8" x14ac:dyDescent="0.25">
      <c r="A131">
        <v>5129</v>
      </c>
      <c r="B131" s="1">
        <v>45773</v>
      </c>
      <c r="C131" t="s">
        <v>21</v>
      </c>
      <c r="D131" t="s">
        <v>9</v>
      </c>
      <c r="E131" t="s">
        <v>26</v>
      </c>
      <c r="F131">
        <v>13078</v>
      </c>
      <c r="G131" t="s">
        <v>19</v>
      </c>
      <c r="H131" t="s">
        <v>12</v>
      </c>
    </row>
    <row r="132" spans="1:8" x14ac:dyDescent="0.25">
      <c r="A132">
        <v>5130</v>
      </c>
      <c r="B132" s="1">
        <v>45758</v>
      </c>
      <c r="C132" t="s">
        <v>8</v>
      </c>
      <c r="D132" t="s">
        <v>22</v>
      </c>
      <c r="E132" t="s">
        <v>27</v>
      </c>
      <c r="F132">
        <v>6535</v>
      </c>
      <c r="G132" t="s">
        <v>11</v>
      </c>
      <c r="H132" t="s">
        <v>12</v>
      </c>
    </row>
    <row r="133" spans="1:8" x14ac:dyDescent="0.25">
      <c r="A133">
        <v>5131</v>
      </c>
      <c r="B133" s="1">
        <v>45725</v>
      </c>
      <c r="C133" t="s">
        <v>23</v>
      </c>
      <c r="D133" t="s">
        <v>14</v>
      </c>
      <c r="E133" t="s">
        <v>10</v>
      </c>
      <c r="F133">
        <v>12487</v>
      </c>
      <c r="G133" t="s">
        <v>19</v>
      </c>
      <c r="H133" t="s">
        <v>17</v>
      </c>
    </row>
    <row r="134" spans="1:8" x14ac:dyDescent="0.25">
      <c r="A134">
        <v>5132</v>
      </c>
      <c r="B134" s="1">
        <v>45759</v>
      </c>
      <c r="C134" t="s">
        <v>8</v>
      </c>
      <c r="D134" t="s">
        <v>22</v>
      </c>
      <c r="E134" t="s">
        <v>27</v>
      </c>
      <c r="F134">
        <v>13475</v>
      </c>
      <c r="G134" t="s">
        <v>19</v>
      </c>
      <c r="H134" t="s">
        <v>17</v>
      </c>
    </row>
    <row r="135" spans="1:8" x14ac:dyDescent="0.25">
      <c r="A135">
        <v>5133</v>
      </c>
      <c r="B135" s="1">
        <v>45761</v>
      </c>
      <c r="C135" t="s">
        <v>8</v>
      </c>
      <c r="D135" t="s">
        <v>14</v>
      </c>
      <c r="E135" t="s">
        <v>15</v>
      </c>
      <c r="F135">
        <v>13689</v>
      </c>
      <c r="G135" t="s">
        <v>19</v>
      </c>
      <c r="H135" t="s">
        <v>12</v>
      </c>
    </row>
    <row r="136" spans="1:8" x14ac:dyDescent="0.25">
      <c r="A136">
        <v>5134</v>
      </c>
      <c r="B136" s="1">
        <v>45737</v>
      </c>
      <c r="C136" t="s">
        <v>8</v>
      </c>
      <c r="D136" t="s">
        <v>14</v>
      </c>
      <c r="E136" t="s">
        <v>24</v>
      </c>
      <c r="F136">
        <v>16741</v>
      </c>
      <c r="G136" t="s">
        <v>16</v>
      </c>
      <c r="H136" t="s">
        <v>17</v>
      </c>
    </row>
    <row r="137" spans="1:8" x14ac:dyDescent="0.25">
      <c r="A137">
        <v>5135</v>
      </c>
      <c r="B137" s="1">
        <v>45745</v>
      </c>
      <c r="C137" t="s">
        <v>23</v>
      </c>
      <c r="D137" t="s">
        <v>20</v>
      </c>
      <c r="E137" t="s">
        <v>27</v>
      </c>
      <c r="F137">
        <v>11156</v>
      </c>
      <c r="G137" t="s">
        <v>16</v>
      </c>
      <c r="H137" t="s">
        <v>12</v>
      </c>
    </row>
    <row r="138" spans="1:8" x14ac:dyDescent="0.25">
      <c r="A138">
        <v>5136</v>
      </c>
      <c r="B138" s="1">
        <v>45700</v>
      </c>
      <c r="C138" t="s">
        <v>23</v>
      </c>
      <c r="D138" t="s">
        <v>22</v>
      </c>
      <c r="E138" t="s">
        <v>26</v>
      </c>
      <c r="F138">
        <v>12492</v>
      </c>
      <c r="G138" t="s">
        <v>16</v>
      </c>
      <c r="H138" t="s">
        <v>17</v>
      </c>
    </row>
    <row r="139" spans="1:8" x14ac:dyDescent="0.25">
      <c r="A139">
        <v>5137</v>
      </c>
      <c r="B139" s="1">
        <v>45756</v>
      </c>
      <c r="C139" t="s">
        <v>23</v>
      </c>
      <c r="D139" t="s">
        <v>14</v>
      </c>
      <c r="E139" t="s">
        <v>27</v>
      </c>
      <c r="F139">
        <v>16048</v>
      </c>
      <c r="G139" t="s">
        <v>11</v>
      </c>
      <c r="H139" t="s">
        <v>17</v>
      </c>
    </row>
    <row r="140" spans="1:8" x14ac:dyDescent="0.25">
      <c r="A140">
        <v>5138</v>
      </c>
      <c r="B140" s="1">
        <v>45774</v>
      </c>
      <c r="C140" t="s">
        <v>25</v>
      </c>
      <c r="D140" t="s">
        <v>20</v>
      </c>
      <c r="E140" t="s">
        <v>15</v>
      </c>
      <c r="F140">
        <v>8837</v>
      </c>
      <c r="G140" t="s">
        <v>11</v>
      </c>
      <c r="H140" t="s">
        <v>17</v>
      </c>
    </row>
    <row r="141" spans="1:8" x14ac:dyDescent="0.25">
      <c r="A141">
        <v>5139</v>
      </c>
      <c r="B141" s="1">
        <v>45697</v>
      </c>
      <c r="C141" t="s">
        <v>25</v>
      </c>
      <c r="D141" t="s">
        <v>9</v>
      </c>
      <c r="E141" t="s">
        <v>27</v>
      </c>
      <c r="F141">
        <v>18071</v>
      </c>
      <c r="G141" t="s">
        <v>16</v>
      </c>
      <c r="H141" t="s">
        <v>12</v>
      </c>
    </row>
    <row r="142" spans="1:8" x14ac:dyDescent="0.25">
      <c r="A142">
        <v>5140</v>
      </c>
      <c r="B142" s="1">
        <v>45739</v>
      </c>
      <c r="C142" t="s">
        <v>13</v>
      </c>
      <c r="D142" t="s">
        <v>20</v>
      </c>
      <c r="E142" t="s">
        <v>18</v>
      </c>
      <c r="F142">
        <v>14618</v>
      </c>
      <c r="G142" t="s">
        <v>19</v>
      </c>
      <c r="H142" t="s">
        <v>12</v>
      </c>
    </row>
    <row r="143" spans="1:8" x14ac:dyDescent="0.25">
      <c r="A143">
        <v>5141</v>
      </c>
      <c r="B143" s="1">
        <v>45699</v>
      </c>
      <c r="C143" t="s">
        <v>21</v>
      </c>
      <c r="D143" t="s">
        <v>9</v>
      </c>
      <c r="E143" t="s">
        <v>18</v>
      </c>
      <c r="F143">
        <v>7102</v>
      </c>
      <c r="G143" t="s">
        <v>16</v>
      </c>
      <c r="H143" t="s">
        <v>17</v>
      </c>
    </row>
    <row r="144" spans="1:8" x14ac:dyDescent="0.25">
      <c r="A144">
        <v>5142</v>
      </c>
      <c r="B144" s="1">
        <v>45735</v>
      </c>
      <c r="C144" t="s">
        <v>25</v>
      </c>
      <c r="D144" t="s">
        <v>22</v>
      </c>
      <c r="E144" t="s">
        <v>10</v>
      </c>
      <c r="F144">
        <v>6285</v>
      </c>
      <c r="G144" t="s">
        <v>19</v>
      </c>
      <c r="H144" t="s">
        <v>17</v>
      </c>
    </row>
    <row r="145" spans="1:8" x14ac:dyDescent="0.25">
      <c r="A145">
        <v>5143</v>
      </c>
      <c r="B145" s="1">
        <v>45760</v>
      </c>
      <c r="C145" t="s">
        <v>8</v>
      </c>
      <c r="D145" t="s">
        <v>14</v>
      </c>
      <c r="E145" t="s">
        <v>27</v>
      </c>
      <c r="F145">
        <v>2788</v>
      </c>
      <c r="G145" t="s">
        <v>19</v>
      </c>
      <c r="H145" t="s">
        <v>12</v>
      </c>
    </row>
    <row r="146" spans="1:8" x14ac:dyDescent="0.25">
      <c r="A146">
        <v>5144</v>
      </c>
      <c r="B146" s="1">
        <v>45706</v>
      </c>
      <c r="C146" t="s">
        <v>21</v>
      </c>
      <c r="D146" t="s">
        <v>9</v>
      </c>
      <c r="E146" t="s">
        <v>15</v>
      </c>
      <c r="F146">
        <v>1190</v>
      </c>
      <c r="G146" t="s">
        <v>19</v>
      </c>
      <c r="H146" t="s">
        <v>12</v>
      </c>
    </row>
    <row r="147" spans="1:8" x14ac:dyDescent="0.25">
      <c r="A147">
        <v>5145</v>
      </c>
      <c r="B147" s="1">
        <v>45720</v>
      </c>
      <c r="C147" t="s">
        <v>25</v>
      </c>
      <c r="D147" t="s">
        <v>20</v>
      </c>
      <c r="E147" t="s">
        <v>27</v>
      </c>
      <c r="F147">
        <v>14154</v>
      </c>
      <c r="G147" t="s">
        <v>16</v>
      </c>
      <c r="H147" t="s">
        <v>12</v>
      </c>
    </row>
    <row r="148" spans="1:8" x14ac:dyDescent="0.25">
      <c r="A148">
        <v>5146</v>
      </c>
      <c r="B148" s="1">
        <v>45777</v>
      </c>
      <c r="C148" t="s">
        <v>13</v>
      </c>
      <c r="D148" t="s">
        <v>9</v>
      </c>
      <c r="E148" t="s">
        <v>27</v>
      </c>
      <c r="F148">
        <v>19716</v>
      </c>
      <c r="G148" t="s">
        <v>11</v>
      </c>
      <c r="H148" t="s">
        <v>12</v>
      </c>
    </row>
    <row r="149" spans="1:8" x14ac:dyDescent="0.25">
      <c r="A149">
        <v>5147</v>
      </c>
      <c r="B149" s="1">
        <v>45677</v>
      </c>
      <c r="C149" t="s">
        <v>25</v>
      </c>
      <c r="D149" t="s">
        <v>14</v>
      </c>
      <c r="E149" t="s">
        <v>27</v>
      </c>
      <c r="F149">
        <v>14589</v>
      </c>
      <c r="G149" t="s">
        <v>11</v>
      </c>
      <c r="H149" t="s">
        <v>12</v>
      </c>
    </row>
    <row r="150" spans="1:8" x14ac:dyDescent="0.25">
      <c r="A150">
        <v>5148</v>
      </c>
      <c r="B150" s="1">
        <v>45770</v>
      </c>
      <c r="C150" t="s">
        <v>25</v>
      </c>
      <c r="D150" t="s">
        <v>9</v>
      </c>
      <c r="E150" t="s">
        <v>26</v>
      </c>
      <c r="F150">
        <v>5671</v>
      </c>
      <c r="G150" t="s">
        <v>16</v>
      </c>
      <c r="H150" t="s">
        <v>17</v>
      </c>
    </row>
    <row r="151" spans="1:8" x14ac:dyDescent="0.25">
      <c r="A151">
        <v>5149</v>
      </c>
      <c r="B151" s="1">
        <v>45769</v>
      </c>
      <c r="C151" t="s">
        <v>13</v>
      </c>
      <c r="D151" t="s">
        <v>9</v>
      </c>
      <c r="E151" t="s">
        <v>26</v>
      </c>
      <c r="F151">
        <v>19055</v>
      </c>
      <c r="G151" t="s">
        <v>11</v>
      </c>
      <c r="H151" t="s">
        <v>17</v>
      </c>
    </row>
    <row r="152" spans="1:8" x14ac:dyDescent="0.25">
      <c r="A152">
        <v>5150</v>
      </c>
      <c r="B152" s="1">
        <v>45726</v>
      </c>
      <c r="C152" t="s">
        <v>23</v>
      </c>
      <c r="D152" t="s">
        <v>9</v>
      </c>
      <c r="E152" t="s">
        <v>10</v>
      </c>
      <c r="F152">
        <v>12034</v>
      </c>
      <c r="G152" t="s">
        <v>16</v>
      </c>
      <c r="H152" t="s">
        <v>17</v>
      </c>
    </row>
    <row r="153" spans="1:8" x14ac:dyDescent="0.25">
      <c r="A153">
        <v>5151</v>
      </c>
      <c r="B153" s="1">
        <v>45721</v>
      </c>
      <c r="C153" t="s">
        <v>21</v>
      </c>
      <c r="D153" t="s">
        <v>14</v>
      </c>
      <c r="E153" t="s">
        <v>27</v>
      </c>
      <c r="F153">
        <v>4105</v>
      </c>
      <c r="G153" t="s">
        <v>11</v>
      </c>
      <c r="H153" t="s">
        <v>12</v>
      </c>
    </row>
    <row r="154" spans="1:8" x14ac:dyDescent="0.25">
      <c r="A154">
        <v>5152</v>
      </c>
      <c r="B154" s="1">
        <v>45704</v>
      </c>
      <c r="C154" t="s">
        <v>8</v>
      </c>
      <c r="D154" t="s">
        <v>9</v>
      </c>
      <c r="E154" t="s">
        <v>10</v>
      </c>
      <c r="F154">
        <v>3952</v>
      </c>
      <c r="G154" t="s">
        <v>19</v>
      </c>
      <c r="H154" t="s">
        <v>17</v>
      </c>
    </row>
    <row r="155" spans="1:8" x14ac:dyDescent="0.25">
      <c r="A155">
        <v>5153</v>
      </c>
      <c r="B155" s="1">
        <v>45661</v>
      </c>
      <c r="C155" t="s">
        <v>23</v>
      </c>
      <c r="D155" t="s">
        <v>20</v>
      </c>
      <c r="E155" t="s">
        <v>18</v>
      </c>
      <c r="F155">
        <v>10572</v>
      </c>
      <c r="G155" t="s">
        <v>16</v>
      </c>
      <c r="H155" t="s">
        <v>12</v>
      </c>
    </row>
    <row r="156" spans="1:8" x14ac:dyDescent="0.25">
      <c r="A156">
        <v>5154</v>
      </c>
      <c r="B156" s="1">
        <v>45738</v>
      </c>
      <c r="C156" t="s">
        <v>25</v>
      </c>
      <c r="D156" t="s">
        <v>9</v>
      </c>
      <c r="E156" t="s">
        <v>10</v>
      </c>
      <c r="F156">
        <v>12706</v>
      </c>
      <c r="G156" t="s">
        <v>16</v>
      </c>
      <c r="H156" t="s">
        <v>17</v>
      </c>
    </row>
    <row r="157" spans="1:8" x14ac:dyDescent="0.25">
      <c r="A157">
        <v>5155</v>
      </c>
      <c r="B157" s="1">
        <v>45712</v>
      </c>
      <c r="C157" t="s">
        <v>8</v>
      </c>
      <c r="D157" t="s">
        <v>22</v>
      </c>
      <c r="E157" t="s">
        <v>26</v>
      </c>
      <c r="F157">
        <v>15811</v>
      </c>
      <c r="G157" t="s">
        <v>11</v>
      </c>
      <c r="H157" t="s">
        <v>17</v>
      </c>
    </row>
    <row r="158" spans="1:8" x14ac:dyDescent="0.25">
      <c r="A158">
        <v>5156</v>
      </c>
      <c r="B158" s="1">
        <v>45729</v>
      </c>
      <c r="C158" t="s">
        <v>13</v>
      </c>
      <c r="D158" t="s">
        <v>9</v>
      </c>
      <c r="E158" t="s">
        <v>10</v>
      </c>
      <c r="F158">
        <v>16368</v>
      </c>
      <c r="G158" t="s">
        <v>11</v>
      </c>
      <c r="H158" t="s">
        <v>17</v>
      </c>
    </row>
    <row r="159" spans="1:8" x14ac:dyDescent="0.25">
      <c r="A159">
        <v>5157</v>
      </c>
      <c r="B159" s="1">
        <v>45672</v>
      </c>
      <c r="C159" t="s">
        <v>21</v>
      </c>
      <c r="D159" t="s">
        <v>22</v>
      </c>
      <c r="E159" t="s">
        <v>24</v>
      </c>
      <c r="F159">
        <v>17027</v>
      </c>
      <c r="G159" t="s">
        <v>19</v>
      </c>
      <c r="H159" t="s">
        <v>12</v>
      </c>
    </row>
    <row r="160" spans="1:8" x14ac:dyDescent="0.25">
      <c r="A160">
        <v>5158</v>
      </c>
      <c r="B160" s="1">
        <v>45683</v>
      </c>
      <c r="C160" t="s">
        <v>13</v>
      </c>
      <c r="D160" t="s">
        <v>20</v>
      </c>
      <c r="E160" t="s">
        <v>24</v>
      </c>
      <c r="F160">
        <v>12488</v>
      </c>
      <c r="G160" t="s">
        <v>19</v>
      </c>
      <c r="H160" t="s">
        <v>12</v>
      </c>
    </row>
    <row r="161" spans="1:8" x14ac:dyDescent="0.25">
      <c r="A161">
        <v>5159</v>
      </c>
      <c r="B161" s="1">
        <v>45716</v>
      </c>
      <c r="C161" t="s">
        <v>25</v>
      </c>
      <c r="D161" t="s">
        <v>14</v>
      </c>
      <c r="E161" t="s">
        <v>24</v>
      </c>
      <c r="F161">
        <v>7625</v>
      </c>
      <c r="G161" t="s">
        <v>16</v>
      </c>
      <c r="H161" t="s">
        <v>17</v>
      </c>
    </row>
    <row r="162" spans="1:8" x14ac:dyDescent="0.25">
      <c r="A162">
        <v>5160</v>
      </c>
      <c r="B162" s="1">
        <v>45772</v>
      </c>
      <c r="C162" t="s">
        <v>25</v>
      </c>
      <c r="D162" t="s">
        <v>20</v>
      </c>
      <c r="E162" t="s">
        <v>26</v>
      </c>
      <c r="F162">
        <v>6545</v>
      </c>
      <c r="G162" t="s">
        <v>19</v>
      </c>
      <c r="H162" t="s">
        <v>12</v>
      </c>
    </row>
    <row r="163" spans="1:8" x14ac:dyDescent="0.25">
      <c r="A163">
        <v>5161</v>
      </c>
      <c r="B163" s="1">
        <v>45702</v>
      </c>
      <c r="C163" t="s">
        <v>25</v>
      </c>
      <c r="D163" t="s">
        <v>20</v>
      </c>
      <c r="E163" t="s">
        <v>27</v>
      </c>
      <c r="F163">
        <v>11801</v>
      </c>
      <c r="G163" t="s">
        <v>11</v>
      </c>
      <c r="H163" t="s">
        <v>17</v>
      </c>
    </row>
    <row r="164" spans="1:8" x14ac:dyDescent="0.25">
      <c r="A164">
        <v>5162</v>
      </c>
      <c r="B164" s="1">
        <v>45680</v>
      </c>
      <c r="C164" t="s">
        <v>25</v>
      </c>
      <c r="D164" t="s">
        <v>20</v>
      </c>
      <c r="E164" t="s">
        <v>24</v>
      </c>
      <c r="F164">
        <v>15311</v>
      </c>
      <c r="G164" t="s">
        <v>11</v>
      </c>
      <c r="H164" t="s">
        <v>12</v>
      </c>
    </row>
    <row r="165" spans="1:8" x14ac:dyDescent="0.25">
      <c r="A165">
        <v>5163</v>
      </c>
      <c r="B165" s="1">
        <v>45712</v>
      </c>
      <c r="C165" t="s">
        <v>25</v>
      </c>
      <c r="D165" t="s">
        <v>22</v>
      </c>
      <c r="E165" t="s">
        <v>27</v>
      </c>
      <c r="F165">
        <v>8000</v>
      </c>
      <c r="G165" t="s">
        <v>11</v>
      </c>
      <c r="H165" t="s">
        <v>17</v>
      </c>
    </row>
    <row r="166" spans="1:8" x14ac:dyDescent="0.25">
      <c r="A166">
        <v>5164</v>
      </c>
      <c r="B166" s="1">
        <v>45670</v>
      </c>
      <c r="C166" t="s">
        <v>21</v>
      </c>
      <c r="D166" t="s">
        <v>20</v>
      </c>
      <c r="E166" t="s">
        <v>26</v>
      </c>
      <c r="F166">
        <v>4972</v>
      </c>
      <c r="G166" t="s">
        <v>11</v>
      </c>
      <c r="H166" t="s">
        <v>17</v>
      </c>
    </row>
    <row r="167" spans="1:8" x14ac:dyDescent="0.25">
      <c r="A167">
        <v>5165</v>
      </c>
      <c r="B167" s="1">
        <v>45717</v>
      </c>
      <c r="C167" t="s">
        <v>13</v>
      </c>
      <c r="D167" t="s">
        <v>20</v>
      </c>
      <c r="E167" t="s">
        <v>18</v>
      </c>
      <c r="F167">
        <v>18880</v>
      </c>
      <c r="G167" t="s">
        <v>16</v>
      </c>
      <c r="H167" t="s">
        <v>17</v>
      </c>
    </row>
    <row r="168" spans="1:8" x14ac:dyDescent="0.25">
      <c r="A168">
        <v>5166</v>
      </c>
      <c r="B168" s="1">
        <v>45729</v>
      </c>
      <c r="C168" t="s">
        <v>21</v>
      </c>
      <c r="D168" t="s">
        <v>14</v>
      </c>
      <c r="E168" t="s">
        <v>15</v>
      </c>
      <c r="F168">
        <v>5323</v>
      </c>
      <c r="G168" t="s">
        <v>19</v>
      </c>
      <c r="H168" t="s">
        <v>17</v>
      </c>
    </row>
    <row r="169" spans="1:8" x14ac:dyDescent="0.25">
      <c r="A169">
        <v>5167</v>
      </c>
      <c r="B169" s="1">
        <v>45697</v>
      </c>
      <c r="C169" t="s">
        <v>8</v>
      </c>
      <c r="D169" t="s">
        <v>14</v>
      </c>
      <c r="E169" t="s">
        <v>24</v>
      </c>
      <c r="F169">
        <v>3615</v>
      </c>
      <c r="G169" t="s">
        <v>19</v>
      </c>
      <c r="H169" t="s">
        <v>17</v>
      </c>
    </row>
    <row r="170" spans="1:8" x14ac:dyDescent="0.25">
      <c r="A170">
        <v>5168</v>
      </c>
      <c r="B170" s="1">
        <v>45734</v>
      </c>
      <c r="C170" t="s">
        <v>25</v>
      </c>
      <c r="D170" t="s">
        <v>14</v>
      </c>
      <c r="E170" t="s">
        <v>10</v>
      </c>
      <c r="F170">
        <v>5478</v>
      </c>
      <c r="G170" t="s">
        <v>16</v>
      </c>
      <c r="H170" t="s">
        <v>12</v>
      </c>
    </row>
    <row r="171" spans="1:8" x14ac:dyDescent="0.25">
      <c r="A171">
        <v>5169</v>
      </c>
      <c r="B171" s="1">
        <v>45696</v>
      </c>
      <c r="C171" t="s">
        <v>23</v>
      </c>
      <c r="D171" t="s">
        <v>14</v>
      </c>
      <c r="E171" t="s">
        <v>10</v>
      </c>
      <c r="F171">
        <v>10319</v>
      </c>
      <c r="G171" t="s">
        <v>11</v>
      </c>
      <c r="H171" t="s">
        <v>17</v>
      </c>
    </row>
    <row r="172" spans="1:8" x14ac:dyDescent="0.25">
      <c r="A172">
        <v>5170</v>
      </c>
      <c r="B172" s="1">
        <v>45770</v>
      </c>
      <c r="C172" t="s">
        <v>23</v>
      </c>
      <c r="D172" t="s">
        <v>20</v>
      </c>
      <c r="E172" t="s">
        <v>15</v>
      </c>
      <c r="F172">
        <v>12017</v>
      </c>
      <c r="G172" t="s">
        <v>11</v>
      </c>
      <c r="H172" t="s">
        <v>12</v>
      </c>
    </row>
    <row r="173" spans="1:8" x14ac:dyDescent="0.25">
      <c r="A173">
        <v>5171</v>
      </c>
      <c r="B173" s="1">
        <v>45727</v>
      </c>
      <c r="C173" t="s">
        <v>25</v>
      </c>
      <c r="D173" t="s">
        <v>22</v>
      </c>
      <c r="E173" t="s">
        <v>18</v>
      </c>
      <c r="F173">
        <v>11157</v>
      </c>
      <c r="G173" t="s">
        <v>19</v>
      </c>
      <c r="H173" t="s">
        <v>12</v>
      </c>
    </row>
    <row r="174" spans="1:8" x14ac:dyDescent="0.25">
      <c r="A174">
        <v>5172</v>
      </c>
      <c r="B174" s="1">
        <v>45701</v>
      </c>
      <c r="C174" t="s">
        <v>21</v>
      </c>
      <c r="D174" t="s">
        <v>14</v>
      </c>
      <c r="E174" t="s">
        <v>24</v>
      </c>
      <c r="F174">
        <v>13484</v>
      </c>
      <c r="G174" t="s">
        <v>19</v>
      </c>
      <c r="H174" t="s">
        <v>17</v>
      </c>
    </row>
    <row r="175" spans="1:8" x14ac:dyDescent="0.25">
      <c r="A175">
        <v>5173</v>
      </c>
      <c r="B175" s="1">
        <v>45727</v>
      </c>
      <c r="C175" t="s">
        <v>13</v>
      </c>
      <c r="D175" t="s">
        <v>22</v>
      </c>
      <c r="E175" t="s">
        <v>26</v>
      </c>
      <c r="F175">
        <v>8253</v>
      </c>
      <c r="G175" t="s">
        <v>16</v>
      </c>
      <c r="H175" t="s">
        <v>12</v>
      </c>
    </row>
    <row r="176" spans="1:8" x14ac:dyDescent="0.25">
      <c r="A176">
        <v>5174</v>
      </c>
      <c r="B176" s="1">
        <v>45710</v>
      </c>
      <c r="C176" t="s">
        <v>25</v>
      </c>
      <c r="D176" t="s">
        <v>14</v>
      </c>
      <c r="E176" t="s">
        <v>27</v>
      </c>
      <c r="F176">
        <v>1101</v>
      </c>
      <c r="G176" t="s">
        <v>11</v>
      </c>
      <c r="H176" t="s">
        <v>17</v>
      </c>
    </row>
    <row r="177" spans="1:8" x14ac:dyDescent="0.25">
      <c r="A177">
        <v>5175</v>
      </c>
      <c r="B177" s="1">
        <v>45685</v>
      </c>
      <c r="C177" t="s">
        <v>23</v>
      </c>
      <c r="D177" t="s">
        <v>9</v>
      </c>
      <c r="E177" t="s">
        <v>10</v>
      </c>
      <c r="F177">
        <v>18975</v>
      </c>
      <c r="G177" t="s">
        <v>11</v>
      </c>
      <c r="H177" t="s">
        <v>12</v>
      </c>
    </row>
    <row r="178" spans="1:8" x14ac:dyDescent="0.25">
      <c r="A178">
        <v>5176</v>
      </c>
      <c r="B178" s="1">
        <v>45659</v>
      </c>
      <c r="C178" t="s">
        <v>21</v>
      </c>
      <c r="D178" t="s">
        <v>20</v>
      </c>
      <c r="E178" t="s">
        <v>10</v>
      </c>
      <c r="F178">
        <v>11078</v>
      </c>
      <c r="G178" t="s">
        <v>11</v>
      </c>
      <c r="H178" t="s">
        <v>12</v>
      </c>
    </row>
    <row r="179" spans="1:8" x14ac:dyDescent="0.25">
      <c r="A179">
        <v>5177</v>
      </c>
      <c r="B179" s="1">
        <v>45752</v>
      </c>
      <c r="C179" t="s">
        <v>25</v>
      </c>
      <c r="D179" t="s">
        <v>20</v>
      </c>
      <c r="E179" t="s">
        <v>18</v>
      </c>
      <c r="F179">
        <v>4564</v>
      </c>
      <c r="G179" t="s">
        <v>11</v>
      </c>
      <c r="H179" t="s">
        <v>12</v>
      </c>
    </row>
    <row r="180" spans="1:8" x14ac:dyDescent="0.25">
      <c r="A180">
        <v>5178</v>
      </c>
      <c r="B180" s="1">
        <v>45684</v>
      </c>
      <c r="C180" t="s">
        <v>25</v>
      </c>
      <c r="D180" t="s">
        <v>14</v>
      </c>
      <c r="E180" t="s">
        <v>15</v>
      </c>
      <c r="F180">
        <v>8520</v>
      </c>
      <c r="G180" t="s">
        <v>11</v>
      </c>
      <c r="H180" t="s">
        <v>12</v>
      </c>
    </row>
    <row r="181" spans="1:8" x14ac:dyDescent="0.25">
      <c r="A181">
        <v>5179</v>
      </c>
      <c r="B181" s="1">
        <v>45688</v>
      </c>
      <c r="C181" t="s">
        <v>8</v>
      </c>
      <c r="D181" t="s">
        <v>14</v>
      </c>
      <c r="E181" t="s">
        <v>27</v>
      </c>
      <c r="F181">
        <v>15707</v>
      </c>
      <c r="G181" t="s">
        <v>19</v>
      </c>
      <c r="H181" t="s">
        <v>17</v>
      </c>
    </row>
    <row r="182" spans="1:8" x14ac:dyDescent="0.25">
      <c r="A182">
        <v>5180</v>
      </c>
      <c r="B182" s="1">
        <v>45722</v>
      </c>
      <c r="C182" t="s">
        <v>13</v>
      </c>
      <c r="D182" t="s">
        <v>22</v>
      </c>
      <c r="E182" t="s">
        <v>15</v>
      </c>
      <c r="F182">
        <v>18058</v>
      </c>
      <c r="G182" t="s">
        <v>19</v>
      </c>
      <c r="H182" t="s">
        <v>17</v>
      </c>
    </row>
    <row r="183" spans="1:8" x14ac:dyDescent="0.25">
      <c r="A183">
        <v>5181</v>
      </c>
      <c r="B183" s="1">
        <v>45756</v>
      </c>
      <c r="C183" t="s">
        <v>8</v>
      </c>
      <c r="D183" t="s">
        <v>14</v>
      </c>
      <c r="E183" t="s">
        <v>10</v>
      </c>
      <c r="F183">
        <v>14455</v>
      </c>
      <c r="G183" t="s">
        <v>16</v>
      </c>
      <c r="H183" t="s">
        <v>12</v>
      </c>
    </row>
    <row r="184" spans="1:8" x14ac:dyDescent="0.25">
      <c r="A184">
        <v>5182</v>
      </c>
      <c r="B184" s="1">
        <v>45728</v>
      </c>
      <c r="C184" t="s">
        <v>23</v>
      </c>
      <c r="D184" t="s">
        <v>22</v>
      </c>
      <c r="E184" t="s">
        <v>26</v>
      </c>
      <c r="F184">
        <v>19162</v>
      </c>
      <c r="G184" t="s">
        <v>19</v>
      </c>
      <c r="H184" t="s">
        <v>12</v>
      </c>
    </row>
    <row r="185" spans="1:8" x14ac:dyDescent="0.25">
      <c r="A185">
        <v>5183</v>
      </c>
      <c r="B185" s="1">
        <v>45741</v>
      </c>
      <c r="C185" t="s">
        <v>25</v>
      </c>
      <c r="D185" t="s">
        <v>22</v>
      </c>
      <c r="E185" t="s">
        <v>27</v>
      </c>
      <c r="F185">
        <v>1700</v>
      </c>
      <c r="G185" t="s">
        <v>19</v>
      </c>
      <c r="H185" t="s">
        <v>17</v>
      </c>
    </row>
    <row r="186" spans="1:8" x14ac:dyDescent="0.25">
      <c r="A186">
        <v>5184</v>
      </c>
      <c r="B186" s="1">
        <v>45719</v>
      </c>
      <c r="C186" t="s">
        <v>23</v>
      </c>
      <c r="D186" t="s">
        <v>20</v>
      </c>
      <c r="E186" t="s">
        <v>18</v>
      </c>
      <c r="F186">
        <v>3002</v>
      </c>
      <c r="G186" t="s">
        <v>11</v>
      </c>
      <c r="H186" t="s">
        <v>12</v>
      </c>
    </row>
    <row r="187" spans="1:8" x14ac:dyDescent="0.25">
      <c r="A187">
        <v>5185</v>
      </c>
      <c r="B187" s="1">
        <v>45671</v>
      </c>
      <c r="C187" t="s">
        <v>25</v>
      </c>
      <c r="D187" t="s">
        <v>22</v>
      </c>
      <c r="E187" t="s">
        <v>18</v>
      </c>
      <c r="F187">
        <v>16266</v>
      </c>
      <c r="G187" t="s">
        <v>19</v>
      </c>
      <c r="H187" t="s">
        <v>17</v>
      </c>
    </row>
    <row r="188" spans="1:8" x14ac:dyDescent="0.25">
      <c r="A188">
        <v>5186</v>
      </c>
      <c r="B188" s="1">
        <v>45724</v>
      </c>
      <c r="C188" t="s">
        <v>13</v>
      </c>
      <c r="D188" t="s">
        <v>14</v>
      </c>
      <c r="E188" t="s">
        <v>18</v>
      </c>
      <c r="F188">
        <v>8302</v>
      </c>
      <c r="G188" t="s">
        <v>19</v>
      </c>
      <c r="H188" t="s">
        <v>17</v>
      </c>
    </row>
    <row r="189" spans="1:8" x14ac:dyDescent="0.25">
      <c r="A189">
        <v>5187</v>
      </c>
      <c r="B189" s="1">
        <v>45750</v>
      </c>
      <c r="C189" t="s">
        <v>13</v>
      </c>
      <c r="D189" t="s">
        <v>20</v>
      </c>
      <c r="E189" t="s">
        <v>24</v>
      </c>
      <c r="F189">
        <v>12254</v>
      </c>
      <c r="G189" t="s">
        <v>11</v>
      </c>
      <c r="H189" t="s">
        <v>12</v>
      </c>
    </row>
    <row r="190" spans="1:8" x14ac:dyDescent="0.25">
      <c r="A190">
        <v>5188</v>
      </c>
      <c r="B190" s="1">
        <v>45753</v>
      </c>
      <c r="C190" t="s">
        <v>21</v>
      </c>
      <c r="D190" t="s">
        <v>22</v>
      </c>
      <c r="E190" t="s">
        <v>10</v>
      </c>
      <c r="F190">
        <v>3453</v>
      </c>
      <c r="G190" t="s">
        <v>16</v>
      </c>
      <c r="H190" t="s">
        <v>17</v>
      </c>
    </row>
    <row r="191" spans="1:8" x14ac:dyDescent="0.25">
      <c r="A191">
        <v>5189</v>
      </c>
      <c r="B191" s="1">
        <v>45699</v>
      </c>
      <c r="C191" t="s">
        <v>13</v>
      </c>
      <c r="D191" t="s">
        <v>20</v>
      </c>
      <c r="E191" t="s">
        <v>15</v>
      </c>
      <c r="F191">
        <v>19690</v>
      </c>
      <c r="G191" t="s">
        <v>16</v>
      </c>
      <c r="H191" t="s">
        <v>17</v>
      </c>
    </row>
    <row r="192" spans="1:8" x14ac:dyDescent="0.25">
      <c r="A192">
        <v>5190</v>
      </c>
      <c r="B192" s="1">
        <v>45751</v>
      </c>
      <c r="C192" t="s">
        <v>13</v>
      </c>
      <c r="D192" t="s">
        <v>9</v>
      </c>
      <c r="E192" t="s">
        <v>24</v>
      </c>
      <c r="F192">
        <v>15592</v>
      </c>
      <c r="G192" t="s">
        <v>16</v>
      </c>
      <c r="H192" t="s">
        <v>12</v>
      </c>
    </row>
    <row r="193" spans="1:8" x14ac:dyDescent="0.25">
      <c r="A193">
        <v>5191</v>
      </c>
      <c r="B193" s="1">
        <v>45734</v>
      </c>
      <c r="C193" t="s">
        <v>8</v>
      </c>
      <c r="D193" t="s">
        <v>20</v>
      </c>
      <c r="E193" t="s">
        <v>26</v>
      </c>
      <c r="F193">
        <v>5446</v>
      </c>
      <c r="G193" t="s">
        <v>11</v>
      </c>
      <c r="H193" t="s">
        <v>17</v>
      </c>
    </row>
    <row r="194" spans="1:8" x14ac:dyDescent="0.25">
      <c r="A194">
        <v>5192</v>
      </c>
      <c r="B194" s="1">
        <v>45764</v>
      </c>
      <c r="C194" t="s">
        <v>8</v>
      </c>
      <c r="D194" t="s">
        <v>14</v>
      </c>
      <c r="E194" t="s">
        <v>26</v>
      </c>
      <c r="F194">
        <v>16989</v>
      </c>
      <c r="G194" t="s">
        <v>19</v>
      </c>
      <c r="H194" t="s">
        <v>17</v>
      </c>
    </row>
    <row r="195" spans="1:8" x14ac:dyDescent="0.25">
      <c r="A195">
        <v>5193</v>
      </c>
      <c r="B195" s="1">
        <v>45694</v>
      </c>
      <c r="C195" t="s">
        <v>25</v>
      </c>
      <c r="D195" t="s">
        <v>20</v>
      </c>
      <c r="E195" t="s">
        <v>24</v>
      </c>
      <c r="F195">
        <v>5778</v>
      </c>
      <c r="G195" t="s">
        <v>19</v>
      </c>
      <c r="H195" t="s">
        <v>12</v>
      </c>
    </row>
    <row r="196" spans="1:8" x14ac:dyDescent="0.25">
      <c r="A196">
        <v>5194</v>
      </c>
      <c r="B196" s="1">
        <v>45773</v>
      </c>
      <c r="C196" t="s">
        <v>13</v>
      </c>
      <c r="D196" t="s">
        <v>9</v>
      </c>
      <c r="E196" t="s">
        <v>10</v>
      </c>
      <c r="F196">
        <v>8621</v>
      </c>
      <c r="G196" t="s">
        <v>19</v>
      </c>
      <c r="H196" t="s">
        <v>12</v>
      </c>
    </row>
    <row r="197" spans="1:8" x14ac:dyDescent="0.25">
      <c r="A197">
        <v>5195</v>
      </c>
      <c r="B197" s="1">
        <v>45693</v>
      </c>
      <c r="C197" t="s">
        <v>8</v>
      </c>
      <c r="D197" t="s">
        <v>22</v>
      </c>
      <c r="E197" t="s">
        <v>10</v>
      </c>
      <c r="F197">
        <v>4933</v>
      </c>
      <c r="G197" t="s">
        <v>16</v>
      </c>
      <c r="H197" t="s">
        <v>12</v>
      </c>
    </row>
    <row r="198" spans="1:8" x14ac:dyDescent="0.25">
      <c r="A198">
        <v>5196</v>
      </c>
      <c r="B198" s="1">
        <v>45660</v>
      </c>
      <c r="C198" t="s">
        <v>25</v>
      </c>
      <c r="D198" t="s">
        <v>20</v>
      </c>
      <c r="E198" t="s">
        <v>18</v>
      </c>
      <c r="F198">
        <v>10833</v>
      </c>
      <c r="G198" t="s">
        <v>11</v>
      </c>
      <c r="H198" t="s">
        <v>17</v>
      </c>
    </row>
    <row r="199" spans="1:8" x14ac:dyDescent="0.25">
      <c r="A199">
        <v>5197</v>
      </c>
      <c r="B199" s="1">
        <v>45694</v>
      </c>
      <c r="C199" t="s">
        <v>25</v>
      </c>
      <c r="D199" t="s">
        <v>22</v>
      </c>
      <c r="E199" t="s">
        <v>26</v>
      </c>
      <c r="F199">
        <v>13409</v>
      </c>
      <c r="G199" t="s">
        <v>19</v>
      </c>
      <c r="H199" t="s">
        <v>17</v>
      </c>
    </row>
    <row r="200" spans="1:8" x14ac:dyDescent="0.25">
      <c r="A200">
        <v>5198</v>
      </c>
      <c r="B200" s="1">
        <v>45704</v>
      </c>
      <c r="C200" t="s">
        <v>8</v>
      </c>
      <c r="D200" t="s">
        <v>20</v>
      </c>
      <c r="E200" t="s">
        <v>26</v>
      </c>
      <c r="F200">
        <v>19727</v>
      </c>
      <c r="G200" t="s">
        <v>16</v>
      </c>
      <c r="H200" t="s">
        <v>12</v>
      </c>
    </row>
    <row r="201" spans="1:8" x14ac:dyDescent="0.25">
      <c r="A201">
        <v>5199</v>
      </c>
      <c r="B201" s="1">
        <v>45730</v>
      </c>
      <c r="C201" t="s">
        <v>25</v>
      </c>
      <c r="D201" t="s">
        <v>9</v>
      </c>
      <c r="E201" t="s">
        <v>10</v>
      </c>
      <c r="F201">
        <v>7184</v>
      </c>
      <c r="G201" t="s">
        <v>19</v>
      </c>
      <c r="H201" t="s">
        <v>17</v>
      </c>
    </row>
    <row r="202" spans="1:8" x14ac:dyDescent="0.25">
      <c r="A202">
        <v>5200</v>
      </c>
      <c r="B202" s="1">
        <v>45660</v>
      </c>
      <c r="C202" t="s">
        <v>25</v>
      </c>
      <c r="D202" t="s">
        <v>14</v>
      </c>
      <c r="E202" t="s">
        <v>10</v>
      </c>
      <c r="F202">
        <v>2263</v>
      </c>
      <c r="G202" t="s">
        <v>16</v>
      </c>
      <c r="H202" t="s">
        <v>12</v>
      </c>
    </row>
    <row r="203" spans="1:8" x14ac:dyDescent="0.25">
      <c r="A203">
        <v>5201</v>
      </c>
      <c r="B203" s="1">
        <v>45671</v>
      </c>
      <c r="C203" t="s">
        <v>23</v>
      </c>
      <c r="D203" t="s">
        <v>20</v>
      </c>
      <c r="E203" t="s">
        <v>18</v>
      </c>
      <c r="F203">
        <v>14237</v>
      </c>
      <c r="G203" t="s">
        <v>19</v>
      </c>
      <c r="H203" t="s">
        <v>12</v>
      </c>
    </row>
    <row r="204" spans="1:8" x14ac:dyDescent="0.25">
      <c r="A204">
        <v>5202</v>
      </c>
      <c r="B204" s="1">
        <v>45694</v>
      </c>
      <c r="C204" t="s">
        <v>13</v>
      </c>
      <c r="D204" t="s">
        <v>20</v>
      </c>
      <c r="E204" t="s">
        <v>15</v>
      </c>
      <c r="F204">
        <v>7384</v>
      </c>
      <c r="G204" t="s">
        <v>11</v>
      </c>
      <c r="H204" t="s">
        <v>12</v>
      </c>
    </row>
    <row r="205" spans="1:8" x14ac:dyDescent="0.25">
      <c r="A205">
        <v>5203</v>
      </c>
      <c r="B205" s="1">
        <v>45698</v>
      </c>
      <c r="C205" t="s">
        <v>13</v>
      </c>
      <c r="D205" t="s">
        <v>9</v>
      </c>
      <c r="E205" t="s">
        <v>15</v>
      </c>
      <c r="F205">
        <v>5638</v>
      </c>
      <c r="G205" t="s">
        <v>19</v>
      </c>
      <c r="H205" t="s">
        <v>17</v>
      </c>
    </row>
    <row r="206" spans="1:8" x14ac:dyDescent="0.25">
      <c r="A206">
        <v>5204</v>
      </c>
      <c r="B206" s="1">
        <v>45755</v>
      </c>
      <c r="C206" t="s">
        <v>25</v>
      </c>
      <c r="D206" t="s">
        <v>14</v>
      </c>
      <c r="E206" t="s">
        <v>15</v>
      </c>
      <c r="F206">
        <v>7578</v>
      </c>
      <c r="G206" t="s">
        <v>19</v>
      </c>
      <c r="H206" t="s">
        <v>12</v>
      </c>
    </row>
    <row r="207" spans="1:8" x14ac:dyDescent="0.25">
      <c r="A207">
        <v>5205</v>
      </c>
      <c r="B207" s="1">
        <v>45721</v>
      </c>
      <c r="C207" t="s">
        <v>8</v>
      </c>
      <c r="D207" t="s">
        <v>14</v>
      </c>
      <c r="E207" t="s">
        <v>15</v>
      </c>
      <c r="F207">
        <v>3047</v>
      </c>
      <c r="G207" t="s">
        <v>16</v>
      </c>
      <c r="H207" t="s">
        <v>12</v>
      </c>
    </row>
    <row r="208" spans="1:8" x14ac:dyDescent="0.25">
      <c r="A208">
        <v>5206</v>
      </c>
      <c r="B208" s="1">
        <v>45704</v>
      </c>
      <c r="C208" t="s">
        <v>25</v>
      </c>
      <c r="D208" t="s">
        <v>22</v>
      </c>
      <c r="E208" t="s">
        <v>26</v>
      </c>
      <c r="F208">
        <v>8028</v>
      </c>
      <c r="G208" t="s">
        <v>19</v>
      </c>
      <c r="H208" t="s">
        <v>17</v>
      </c>
    </row>
    <row r="209" spans="1:8" x14ac:dyDescent="0.25">
      <c r="A209">
        <v>5207</v>
      </c>
      <c r="B209" s="1">
        <v>45747</v>
      </c>
      <c r="C209" t="s">
        <v>23</v>
      </c>
      <c r="D209" t="s">
        <v>14</v>
      </c>
      <c r="E209" t="s">
        <v>27</v>
      </c>
      <c r="F209">
        <v>3059</v>
      </c>
      <c r="G209" t="s">
        <v>16</v>
      </c>
      <c r="H209" t="s">
        <v>12</v>
      </c>
    </row>
    <row r="210" spans="1:8" x14ac:dyDescent="0.25">
      <c r="A210">
        <v>5208</v>
      </c>
      <c r="B210" s="1">
        <v>45759</v>
      </c>
      <c r="C210" t="s">
        <v>8</v>
      </c>
      <c r="D210" t="s">
        <v>20</v>
      </c>
      <c r="E210" t="s">
        <v>10</v>
      </c>
      <c r="F210">
        <v>5390</v>
      </c>
      <c r="G210" t="s">
        <v>11</v>
      </c>
      <c r="H210" t="s">
        <v>17</v>
      </c>
    </row>
    <row r="211" spans="1:8" x14ac:dyDescent="0.25">
      <c r="A211">
        <v>5209</v>
      </c>
      <c r="B211" s="1">
        <v>45762</v>
      </c>
      <c r="C211" t="s">
        <v>21</v>
      </c>
      <c r="D211" t="s">
        <v>22</v>
      </c>
      <c r="E211" t="s">
        <v>18</v>
      </c>
      <c r="F211">
        <v>7561</v>
      </c>
      <c r="G211" t="s">
        <v>19</v>
      </c>
      <c r="H211" t="s">
        <v>17</v>
      </c>
    </row>
    <row r="212" spans="1:8" x14ac:dyDescent="0.25">
      <c r="A212">
        <v>5210</v>
      </c>
      <c r="B212" s="1">
        <v>45716</v>
      </c>
      <c r="C212" t="s">
        <v>21</v>
      </c>
      <c r="D212" t="s">
        <v>22</v>
      </c>
      <c r="E212" t="s">
        <v>26</v>
      </c>
      <c r="F212">
        <v>12659</v>
      </c>
      <c r="G212" t="s">
        <v>11</v>
      </c>
      <c r="H212" t="s">
        <v>17</v>
      </c>
    </row>
    <row r="213" spans="1:8" x14ac:dyDescent="0.25">
      <c r="A213">
        <v>5211</v>
      </c>
      <c r="B213" s="1">
        <v>45674</v>
      </c>
      <c r="C213" t="s">
        <v>21</v>
      </c>
      <c r="D213" t="s">
        <v>22</v>
      </c>
      <c r="E213" t="s">
        <v>26</v>
      </c>
      <c r="F213">
        <v>6608</v>
      </c>
      <c r="G213" t="s">
        <v>11</v>
      </c>
      <c r="H213" t="s">
        <v>12</v>
      </c>
    </row>
    <row r="214" spans="1:8" x14ac:dyDescent="0.25">
      <c r="A214">
        <v>5212</v>
      </c>
      <c r="B214" s="1">
        <v>45695</v>
      </c>
      <c r="C214" t="s">
        <v>25</v>
      </c>
      <c r="D214" t="s">
        <v>20</v>
      </c>
      <c r="E214" t="s">
        <v>24</v>
      </c>
      <c r="F214">
        <v>14049</v>
      </c>
      <c r="G214" t="s">
        <v>16</v>
      </c>
      <c r="H214" t="s">
        <v>12</v>
      </c>
    </row>
    <row r="215" spans="1:8" x14ac:dyDescent="0.25">
      <c r="A215">
        <v>5213</v>
      </c>
      <c r="B215" s="1">
        <v>45762</v>
      </c>
      <c r="C215" t="s">
        <v>23</v>
      </c>
      <c r="D215" t="s">
        <v>14</v>
      </c>
      <c r="E215" t="s">
        <v>15</v>
      </c>
      <c r="F215">
        <v>18687</v>
      </c>
      <c r="G215" t="s">
        <v>19</v>
      </c>
      <c r="H215" t="s">
        <v>17</v>
      </c>
    </row>
    <row r="216" spans="1:8" x14ac:dyDescent="0.25">
      <c r="A216">
        <v>5214</v>
      </c>
      <c r="B216" s="1">
        <v>45680</v>
      </c>
      <c r="C216" t="s">
        <v>8</v>
      </c>
      <c r="D216" t="s">
        <v>9</v>
      </c>
      <c r="E216" t="s">
        <v>10</v>
      </c>
      <c r="F216">
        <v>3066</v>
      </c>
      <c r="G216" t="s">
        <v>11</v>
      </c>
      <c r="H216" t="s">
        <v>17</v>
      </c>
    </row>
    <row r="217" spans="1:8" x14ac:dyDescent="0.25">
      <c r="A217">
        <v>5215</v>
      </c>
      <c r="B217" s="1">
        <v>45754</v>
      </c>
      <c r="C217" t="s">
        <v>8</v>
      </c>
      <c r="D217" t="s">
        <v>20</v>
      </c>
      <c r="E217" t="s">
        <v>24</v>
      </c>
      <c r="F217">
        <v>4226</v>
      </c>
      <c r="G217" t="s">
        <v>11</v>
      </c>
      <c r="H217" t="s">
        <v>12</v>
      </c>
    </row>
    <row r="218" spans="1:8" x14ac:dyDescent="0.25">
      <c r="A218">
        <v>5216</v>
      </c>
      <c r="B218" s="1">
        <v>45758</v>
      </c>
      <c r="C218" t="s">
        <v>13</v>
      </c>
      <c r="D218" t="s">
        <v>14</v>
      </c>
      <c r="E218" t="s">
        <v>18</v>
      </c>
      <c r="F218">
        <v>4939</v>
      </c>
      <c r="G218" t="s">
        <v>16</v>
      </c>
      <c r="H218" t="s">
        <v>17</v>
      </c>
    </row>
    <row r="219" spans="1:8" x14ac:dyDescent="0.25">
      <c r="A219">
        <v>5217</v>
      </c>
      <c r="B219" s="1">
        <v>45733</v>
      </c>
      <c r="C219" t="s">
        <v>8</v>
      </c>
      <c r="D219" t="s">
        <v>14</v>
      </c>
      <c r="E219" t="s">
        <v>10</v>
      </c>
      <c r="F219">
        <v>12695</v>
      </c>
      <c r="G219" t="s">
        <v>19</v>
      </c>
      <c r="H219" t="s">
        <v>17</v>
      </c>
    </row>
    <row r="220" spans="1:8" x14ac:dyDescent="0.25">
      <c r="A220">
        <v>5218</v>
      </c>
      <c r="B220" s="1">
        <v>45721</v>
      </c>
      <c r="C220" t="s">
        <v>25</v>
      </c>
      <c r="D220" t="s">
        <v>20</v>
      </c>
      <c r="E220" t="s">
        <v>15</v>
      </c>
      <c r="F220">
        <v>879</v>
      </c>
      <c r="G220" t="s">
        <v>11</v>
      </c>
      <c r="H220" t="s">
        <v>17</v>
      </c>
    </row>
    <row r="221" spans="1:8" x14ac:dyDescent="0.25">
      <c r="A221">
        <v>5219</v>
      </c>
      <c r="B221" s="1">
        <v>45690</v>
      </c>
      <c r="C221" t="s">
        <v>21</v>
      </c>
      <c r="D221" t="s">
        <v>20</v>
      </c>
      <c r="E221" t="s">
        <v>24</v>
      </c>
      <c r="F221">
        <v>7333</v>
      </c>
      <c r="G221" t="s">
        <v>16</v>
      </c>
      <c r="H221" t="s">
        <v>12</v>
      </c>
    </row>
    <row r="222" spans="1:8" x14ac:dyDescent="0.25">
      <c r="A222">
        <v>5220</v>
      </c>
      <c r="B222" s="1">
        <v>45760</v>
      </c>
      <c r="C222" t="s">
        <v>8</v>
      </c>
      <c r="D222" t="s">
        <v>14</v>
      </c>
      <c r="E222" t="s">
        <v>27</v>
      </c>
      <c r="F222">
        <v>6510</v>
      </c>
      <c r="G222" t="s">
        <v>16</v>
      </c>
      <c r="H222" t="s">
        <v>17</v>
      </c>
    </row>
    <row r="223" spans="1:8" x14ac:dyDescent="0.25">
      <c r="A223">
        <v>5221</v>
      </c>
      <c r="B223" s="1">
        <v>45658</v>
      </c>
      <c r="C223" t="s">
        <v>23</v>
      </c>
      <c r="D223" t="s">
        <v>9</v>
      </c>
      <c r="E223" t="s">
        <v>15</v>
      </c>
      <c r="F223">
        <v>10392</v>
      </c>
      <c r="G223" t="s">
        <v>11</v>
      </c>
      <c r="H223" t="s">
        <v>17</v>
      </c>
    </row>
    <row r="224" spans="1:8" x14ac:dyDescent="0.25">
      <c r="A224">
        <v>5222</v>
      </c>
      <c r="B224" s="1">
        <v>45676</v>
      </c>
      <c r="C224" t="s">
        <v>21</v>
      </c>
      <c r="D224" t="s">
        <v>20</v>
      </c>
      <c r="E224" t="s">
        <v>10</v>
      </c>
      <c r="F224">
        <v>19727</v>
      </c>
      <c r="G224" t="s">
        <v>11</v>
      </c>
      <c r="H224" t="s">
        <v>12</v>
      </c>
    </row>
    <row r="225" spans="1:8" x14ac:dyDescent="0.25">
      <c r="A225">
        <v>5223</v>
      </c>
      <c r="B225" s="1">
        <v>45686</v>
      </c>
      <c r="C225" t="s">
        <v>21</v>
      </c>
      <c r="D225" t="s">
        <v>14</v>
      </c>
      <c r="E225" t="s">
        <v>27</v>
      </c>
      <c r="F225">
        <v>10214</v>
      </c>
      <c r="G225" t="s">
        <v>19</v>
      </c>
      <c r="H225" t="s">
        <v>17</v>
      </c>
    </row>
    <row r="226" spans="1:8" x14ac:dyDescent="0.25">
      <c r="A226">
        <v>5224</v>
      </c>
      <c r="B226" s="1">
        <v>45752</v>
      </c>
      <c r="C226" t="s">
        <v>25</v>
      </c>
      <c r="D226" t="s">
        <v>9</v>
      </c>
      <c r="E226" t="s">
        <v>27</v>
      </c>
      <c r="F226">
        <v>12141</v>
      </c>
      <c r="G226" t="s">
        <v>16</v>
      </c>
      <c r="H226" t="s">
        <v>17</v>
      </c>
    </row>
    <row r="227" spans="1:8" x14ac:dyDescent="0.25">
      <c r="A227">
        <v>5225</v>
      </c>
      <c r="B227" s="1">
        <v>45708</v>
      </c>
      <c r="C227" t="s">
        <v>8</v>
      </c>
      <c r="D227" t="s">
        <v>20</v>
      </c>
      <c r="E227" t="s">
        <v>10</v>
      </c>
      <c r="F227">
        <v>17698</v>
      </c>
      <c r="G227" t="s">
        <v>19</v>
      </c>
      <c r="H227" t="s">
        <v>12</v>
      </c>
    </row>
    <row r="228" spans="1:8" x14ac:dyDescent="0.25">
      <c r="A228">
        <v>5226</v>
      </c>
      <c r="B228" s="1">
        <v>45665</v>
      </c>
      <c r="C228" t="s">
        <v>13</v>
      </c>
      <c r="D228" t="s">
        <v>20</v>
      </c>
      <c r="E228" t="s">
        <v>18</v>
      </c>
      <c r="F228">
        <v>11483</v>
      </c>
      <c r="G228" t="s">
        <v>11</v>
      </c>
      <c r="H228" t="s">
        <v>17</v>
      </c>
    </row>
    <row r="229" spans="1:8" x14ac:dyDescent="0.25">
      <c r="A229">
        <v>5227</v>
      </c>
      <c r="B229" s="1">
        <v>45687</v>
      </c>
      <c r="C229" t="s">
        <v>8</v>
      </c>
      <c r="D229" t="s">
        <v>22</v>
      </c>
      <c r="E229" t="s">
        <v>26</v>
      </c>
      <c r="F229">
        <v>9599</v>
      </c>
      <c r="G229" t="s">
        <v>19</v>
      </c>
      <c r="H229" t="s">
        <v>12</v>
      </c>
    </row>
    <row r="230" spans="1:8" x14ac:dyDescent="0.25">
      <c r="A230">
        <v>5228</v>
      </c>
      <c r="B230" s="1">
        <v>45719</v>
      </c>
      <c r="C230" t="s">
        <v>8</v>
      </c>
      <c r="D230" t="s">
        <v>14</v>
      </c>
      <c r="E230" t="s">
        <v>15</v>
      </c>
      <c r="F230">
        <v>12306</v>
      </c>
      <c r="G230" t="s">
        <v>11</v>
      </c>
      <c r="H230" t="s">
        <v>17</v>
      </c>
    </row>
    <row r="231" spans="1:8" x14ac:dyDescent="0.25">
      <c r="A231">
        <v>5229</v>
      </c>
      <c r="B231" s="1">
        <v>45666</v>
      </c>
      <c r="C231" t="s">
        <v>25</v>
      </c>
      <c r="D231" t="s">
        <v>14</v>
      </c>
      <c r="E231" t="s">
        <v>10</v>
      </c>
      <c r="F231">
        <v>1444</v>
      </c>
      <c r="G231" t="s">
        <v>16</v>
      </c>
      <c r="H231" t="s">
        <v>17</v>
      </c>
    </row>
    <row r="232" spans="1:8" x14ac:dyDescent="0.25">
      <c r="A232">
        <v>5230</v>
      </c>
      <c r="B232" s="1">
        <v>45688</v>
      </c>
      <c r="C232" t="s">
        <v>25</v>
      </c>
      <c r="D232" t="s">
        <v>20</v>
      </c>
      <c r="E232" t="s">
        <v>18</v>
      </c>
      <c r="F232">
        <v>14219</v>
      </c>
      <c r="G232" t="s">
        <v>19</v>
      </c>
      <c r="H232" t="s">
        <v>12</v>
      </c>
    </row>
    <row r="233" spans="1:8" x14ac:dyDescent="0.25">
      <c r="A233">
        <v>5231</v>
      </c>
      <c r="B233" s="1">
        <v>45724</v>
      </c>
      <c r="C233" t="s">
        <v>25</v>
      </c>
      <c r="D233" t="s">
        <v>14</v>
      </c>
      <c r="E233" t="s">
        <v>10</v>
      </c>
      <c r="F233">
        <v>1232</v>
      </c>
      <c r="G233" t="s">
        <v>16</v>
      </c>
      <c r="H233" t="s">
        <v>12</v>
      </c>
    </row>
    <row r="234" spans="1:8" x14ac:dyDescent="0.25">
      <c r="A234">
        <v>5232</v>
      </c>
      <c r="B234" s="1">
        <v>45722</v>
      </c>
      <c r="C234" t="s">
        <v>25</v>
      </c>
      <c r="D234" t="s">
        <v>20</v>
      </c>
      <c r="E234" t="s">
        <v>10</v>
      </c>
      <c r="F234">
        <v>3291</v>
      </c>
      <c r="G234" t="s">
        <v>19</v>
      </c>
      <c r="H234" t="s">
        <v>12</v>
      </c>
    </row>
    <row r="235" spans="1:8" x14ac:dyDescent="0.25">
      <c r="A235">
        <v>5233</v>
      </c>
      <c r="B235" s="1">
        <v>45670</v>
      </c>
      <c r="C235" t="s">
        <v>8</v>
      </c>
      <c r="D235" t="s">
        <v>9</v>
      </c>
      <c r="E235" t="s">
        <v>24</v>
      </c>
      <c r="F235">
        <v>5253</v>
      </c>
      <c r="G235" t="s">
        <v>16</v>
      </c>
      <c r="H235" t="s">
        <v>12</v>
      </c>
    </row>
    <row r="236" spans="1:8" x14ac:dyDescent="0.25">
      <c r="A236">
        <v>5234</v>
      </c>
      <c r="B236" s="1">
        <v>45691</v>
      </c>
      <c r="C236" t="s">
        <v>8</v>
      </c>
      <c r="D236" t="s">
        <v>20</v>
      </c>
      <c r="E236" t="s">
        <v>18</v>
      </c>
      <c r="F236">
        <v>13310</v>
      </c>
      <c r="G236" t="s">
        <v>11</v>
      </c>
      <c r="H236" t="s">
        <v>12</v>
      </c>
    </row>
    <row r="237" spans="1:8" x14ac:dyDescent="0.25">
      <c r="A237">
        <v>5235</v>
      </c>
      <c r="B237" s="1">
        <v>45686</v>
      </c>
      <c r="C237" t="s">
        <v>23</v>
      </c>
      <c r="D237" t="s">
        <v>14</v>
      </c>
      <c r="E237" t="s">
        <v>10</v>
      </c>
      <c r="F237">
        <v>14813</v>
      </c>
      <c r="G237" t="s">
        <v>16</v>
      </c>
      <c r="H237" t="s">
        <v>12</v>
      </c>
    </row>
    <row r="238" spans="1:8" x14ac:dyDescent="0.25">
      <c r="A238">
        <v>5236</v>
      </c>
      <c r="B238" s="1">
        <v>45733</v>
      </c>
      <c r="C238" t="s">
        <v>13</v>
      </c>
      <c r="D238" t="s">
        <v>9</v>
      </c>
      <c r="E238" t="s">
        <v>26</v>
      </c>
      <c r="F238">
        <v>16709</v>
      </c>
      <c r="G238" t="s">
        <v>11</v>
      </c>
      <c r="H238" t="s">
        <v>17</v>
      </c>
    </row>
    <row r="239" spans="1:8" x14ac:dyDescent="0.25">
      <c r="A239">
        <v>5237</v>
      </c>
      <c r="B239" s="1">
        <v>45663</v>
      </c>
      <c r="C239" t="s">
        <v>8</v>
      </c>
      <c r="D239" t="s">
        <v>22</v>
      </c>
      <c r="E239" t="s">
        <v>24</v>
      </c>
      <c r="F239">
        <v>542</v>
      </c>
      <c r="G239" t="s">
        <v>11</v>
      </c>
      <c r="H239" t="s">
        <v>12</v>
      </c>
    </row>
    <row r="240" spans="1:8" x14ac:dyDescent="0.25">
      <c r="A240">
        <v>5238</v>
      </c>
      <c r="B240" s="1">
        <v>45744</v>
      </c>
      <c r="C240" t="s">
        <v>13</v>
      </c>
      <c r="D240" t="s">
        <v>14</v>
      </c>
      <c r="E240" t="s">
        <v>18</v>
      </c>
      <c r="F240">
        <v>812</v>
      </c>
      <c r="G240" t="s">
        <v>16</v>
      </c>
      <c r="H240" t="s">
        <v>12</v>
      </c>
    </row>
    <row r="241" spans="1:8" x14ac:dyDescent="0.25">
      <c r="A241">
        <v>5239</v>
      </c>
      <c r="B241" s="1">
        <v>45736</v>
      </c>
      <c r="C241" t="s">
        <v>23</v>
      </c>
      <c r="D241" t="s">
        <v>22</v>
      </c>
      <c r="E241" t="s">
        <v>18</v>
      </c>
      <c r="F241">
        <v>8686</v>
      </c>
      <c r="G241" t="s">
        <v>19</v>
      </c>
      <c r="H241" t="s">
        <v>17</v>
      </c>
    </row>
    <row r="242" spans="1:8" x14ac:dyDescent="0.25">
      <c r="A242">
        <v>5240</v>
      </c>
      <c r="B242" s="1">
        <v>45775</v>
      </c>
      <c r="C242" t="s">
        <v>8</v>
      </c>
      <c r="D242" t="s">
        <v>9</v>
      </c>
      <c r="E242" t="s">
        <v>26</v>
      </c>
      <c r="F242">
        <v>1221</v>
      </c>
      <c r="G242" t="s">
        <v>16</v>
      </c>
      <c r="H242" t="s">
        <v>17</v>
      </c>
    </row>
    <row r="243" spans="1:8" x14ac:dyDescent="0.25">
      <c r="A243">
        <v>5241</v>
      </c>
      <c r="B243" s="1">
        <v>45668</v>
      </c>
      <c r="C243" t="s">
        <v>21</v>
      </c>
      <c r="D243" t="s">
        <v>20</v>
      </c>
      <c r="E243" t="s">
        <v>24</v>
      </c>
      <c r="F243">
        <v>8380</v>
      </c>
      <c r="G243" t="s">
        <v>19</v>
      </c>
      <c r="H243" t="s">
        <v>17</v>
      </c>
    </row>
    <row r="244" spans="1:8" x14ac:dyDescent="0.25">
      <c r="A244">
        <v>5242</v>
      </c>
      <c r="B244" s="1">
        <v>45706</v>
      </c>
      <c r="C244" t="s">
        <v>8</v>
      </c>
      <c r="D244" t="s">
        <v>9</v>
      </c>
      <c r="E244" t="s">
        <v>26</v>
      </c>
      <c r="F244">
        <v>7145</v>
      </c>
      <c r="G244" t="s">
        <v>19</v>
      </c>
      <c r="H244" t="s">
        <v>12</v>
      </c>
    </row>
    <row r="245" spans="1:8" x14ac:dyDescent="0.25">
      <c r="A245">
        <v>5243</v>
      </c>
      <c r="B245" s="1">
        <v>45677</v>
      </c>
      <c r="C245" t="s">
        <v>23</v>
      </c>
      <c r="D245" t="s">
        <v>20</v>
      </c>
      <c r="E245" t="s">
        <v>24</v>
      </c>
      <c r="F245">
        <v>6016</v>
      </c>
      <c r="G245" t="s">
        <v>19</v>
      </c>
      <c r="H245" t="s">
        <v>17</v>
      </c>
    </row>
    <row r="246" spans="1:8" x14ac:dyDescent="0.25">
      <c r="A246">
        <v>5244</v>
      </c>
      <c r="B246" s="1">
        <v>45683</v>
      </c>
      <c r="C246" t="s">
        <v>21</v>
      </c>
      <c r="D246" t="s">
        <v>22</v>
      </c>
      <c r="E246" t="s">
        <v>26</v>
      </c>
      <c r="F246">
        <v>11524</v>
      </c>
      <c r="G246" t="s">
        <v>19</v>
      </c>
      <c r="H246" t="s">
        <v>17</v>
      </c>
    </row>
    <row r="247" spans="1:8" x14ac:dyDescent="0.25">
      <c r="A247">
        <v>5245</v>
      </c>
      <c r="B247" s="1">
        <v>45662</v>
      </c>
      <c r="C247" t="s">
        <v>25</v>
      </c>
      <c r="D247" t="s">
        <v>20</v>
      </c>
      <c r="E247" t="s">
        <v>10</v>
      </c>
      <c r="F247">
        <v>4556</v>
      </c>
      <c r="G247" t="s">
        <v>19</v>
      </c>
      <c r="H247" t="s">
        <v>17</v>
      </c>
    </row>
    <row r="248" spans="1:8" x14ac:dyDescent="0.25">
      <c r="A248">
        <v>5246</v>
      </c>
      <c r="B248" s="1">
        <v>45776</v>
      </c>
      <c r="C248" t="s">
        <v>25</v>
      </c>
      <c r="D248" t="s">
        <v>22</v>
      </c>
      <c r="E248" t="s">
        <v>24</v>
      </c>
      <c r="F248">
        <v>5263</v>
      </c>
      <c r="G248" t="s">
        <v>19</v>
      </c>
      <c r="H248" t="s">
        <v>17</v>
      </c>
    </row>
    <row r="249" spans="1:8" x14ac:dyDescent="0.25">
      <c r="A249">
        <v>5247</v>
      </c>
      <c r="B249" s="1">
        <v>45708</v>
      </c>
      <c r="C249" t="s">
        <v>13</v>
      </c>
      <c r="D249" t="s">
        <v>9</v>
      </c>
      <c r="E249" t="s">
        <v>18</v>
      </c>
      <c r="F249">
        <v>3384</v>
      </c>
      <c r="G249" t="s">
        <v>19</v>
      </c>
      <c r="H249" t="s">
        <v>17</v>
      </c>
    </row>
    <row r="250" spans="1:8" x14ac:dyDescent="0.25">
      <c r="A250">
        <v>5248</v>
      </c>
      <c r="B250" s="1">
        <v>45661</v>
      </c>
      <c r="C250" t="s">
        <v>8</v>
      </c>
      <c r="D250" t="s">
        <v>20</v>
      </c>
      <c r="E250" t="s">
        <v>26</v>
      </c>
      <c r="F250">
        <v>2222</v>
      </c>
      <c r="G250" t="s">
        <v>11</v>
      </c>
      <c r="H250" t="s">
        <v>12</v>
      </c>
    </row>
    <row r="251" spans="1:8" x14ac:dyDescent="0.25">
      <c r="A251">
        <v>5249</v>
      </c>
      <c r="B251" s="1">
        <v>45670</v>
      </c>
      <c r="C251" t="s">
        <v>13</v>
      </c>
      <c r="D251" t="s">
        <v>14</v>
      </c>
      <c r="E251" t="s">
        <v>27</v>
      </c>
      <c r="F251">
        <v>13942</v>
      </c>
      <c r="G251" t="s">
        <v>16</v>
      </c>
      <c r="H251" t="s">
        <v>12</v>
      </c>
    </row>
    <row r="252" spans="1:8" x14ac:dyDescent="0.25">
      <c r="A252">
        <v>5250</v>
      </c>
      <c r="B252" s="1">
        <v>45734</v>
      </c>
      <c r="C252" t="s">
        <v>25</v>
      </c>
      <c r="D252" t="s">
        <v>20</v>
      </c>
      <c r="E252" t="s">
        <v>24</v>
      </c>
      <c r="F252">
        <v>2388</v>
      </c>
      <c r="G252" t="s">
        <v>11</v>
      </c>
      <c r="H252" t="s">
        <v>17</v>
      </c>
    </row>
    <row r="253" spans="1:8" x14ac:dyDescent="0.25">
      <c r="A253">
        <v>5251</v>
      </c>
      <c r="B253" s="1">
        <v>45719</v>
      </c>
      <c r="C253" t="s">
        <v>8</v>
      </c>
      <c r="D253" t="s">
        <v>14</v>
      </c>
      <c r="E253" t="s">
        <v>26</v>
      </c>
      <c r="F253">
        <v>13144</v>
      </c>
      <c r="G253" t="s">
        <v>16</v>
      </c>
      <c r="H253" t="s">
        <v>17</v>
      </c>
    </row>
    <row r="254" spans="1:8" x14ac:dyDescent="0.25">
      <c r="A254">
        <v>5252</v>
      </c>
      <c r="B254" s="1">
        <v>45732</v>
      </c>
      <c r="C254" t="s">
        <v>25</v>
      </c>
      <c r="D254" t="s">
        <v>14</v>
      </c>
      <c r="E254" t="s">
        <v>24</v>
      </c>
      <c r="F254">
        <v>3462</v>
      </c>
      <c r="G254" t="s">
        <v>16</v>
      </c>
      <c r="H254" t="s">
        <v>17</v>
      </c>
    </row>
    <row r="255" spans="1:8" x14ac:dyDescent="0.25">
      <c r="A255">
        <v>5253</v>
      </c>
      <c r="B255" s="1">
        <v>45688</v>
      </c>
      <c r="C255" t="s">
        <v>21</v>
      </c>
      <c r="D255" t="s">
        <v>20</v>
      </c>
      <c r="E255" t="s">
        <v>27</v>
      </c>
      <c r="F255">
        <v>8836</v>
      </c>
      <c r="G255" t="s">
        <v>11</v>
      </c>
      <c r="H255" t="s">
        <v>12</v>
      </c>
    </row>
    <row r="256" spans="1:8" x14ac:dyDescent="0.25">
      <c r="A256">
        <v>5254</v>
      </c>
      <c r="B256" s="1">
        <v>45753</v>
      </c>
      <c r="C256" t="s">
        <v>21</v>
      </c>
      <c r="D256" t="s">
        <v>20</v>
      </c>
      <c r="E256" t="s">
        <v>10</v>
      </c>
      <c r="F256">
        <v>14420</v>
      </c>
      <c r="G256" t="s">
        <v>11</v>
      </c>
      <c r="H256" t="s">
        <v>17</v>
      </c>
    </row>
    <row r="257" spans="1:8" x14ac:dyDescent="0.25">
      <c r="A257">
        <v>5255</v>
      </c>
      <c r="B257" s="1">
        <v>45718</v>
      </c>
      <c r="C257" t="s">
        <v>8</v>
      </c>
      <c r="D257" t="s">
        <v>20</v>
      </c>
      <c r="E257" t="s">
        <v>18</v>
      </c>
      <c r="F257">
        <v>16287</v>
      </c>
      <c r="G257" t="s">
        <v>11</v>
      </c>
      <c r="H257" t="s">
        <v>12</v>
      </c>
    </row>
    <row r="258" spans="1:8" x14ac:dyDescent="0.25">
      <c r="A258">
        <v>5256</v>
      </c>
      <c r="B258" s="1">
        <v>45766</v>
      </c>
      <c r="C258" t="s">
        <v>23</v>
      </c>
      <c r="D258" t="s">
        <v>22</v>
      </c>
      <c r="E258" t="s">
        <v>18</v>
      </c>
      <c r="F258">
        <v>11027</v>
      </c>
      <c r="G258" t="s">
        <v>16</v>
      </c>
      <c r="H258" t="s">
        <v>17</v>
      </c>
    </row>
    <row r="259" spans="1:8" x14ac:dyDescent="0.25">
      <c r="A259">
        <v>5257</v>
      </c>
      <c r="B259" s="1">
        <v>45765</v>
      </c>
      <c r="C259" t="s">
        <v>13</v>
      </c>
      <c r="D259" t="s">
        <v>22</v>
      </c>
      <c r="E259" t="s">
        <v>24</v>
      </c>
      <c r="F259">
        <v>10016</v>
      </c>
      <c r="G259" t="s">
        <v>19</v>
      </c>
      <c r="H259" t="s">
        <v>12</v>
      </c>
    </row>
    <row r="260" spans="1:8" x14ac:dyDescent="0.25">
      <c r="A260">
        <v>5258</v>
      </c>
      <c r="B260" s="1">
        <v>45682</v>
      </c>
      <c r="C260" t="s">
        <v>23</v>
      </c>
      <c r="D260" t="s">
        <v>22</v>
      </c>
      <c r="E260" t="s">
        <v>15</v>
      </c>
      <c r="F260">
        <v>15794</v>
      </c>
      <c r="G260" t="s">
        <v>19</v>
      </c>
      <c r="H260" t="s">
        <v>17</v>
      </c>
    </row>
    <row r="261" spans="1:8" x14ac:dyDescent="0.25">
      <c r="A261">
        <v>5259</v>
      </c>
      <c r="B261" s="1">
        <v>45737</v>
      </c>
      <c r="C261" t="s">
        <v>23</v>
      </c>
      <c r="D261" t="s">
        <v>22</v>
      </c>
      <c r="E261" t="s">
        <v>10</v>
      </c>
      <c r="F261">
        <v>16393</v>
      </c>
      <c r="G261" t="s">
        <v>16</v>
      </c>
      <c r="H261" t="s">
        <v>12</v>
      </c>
    </row>
    <row r="262" spans="1:8" x14ac:dyDescent="0.25">
      <c r="A262">
        <v>5260</v>
      </c>
      <c r="B262" s="1">
        <v>45677</v>
      </c>
      <c r="C262" t="s">
        <v>8</v>
      </c>
      <c r="D262" t="s">
        <v>22</v>
      </c>
      <c r="E262" t="s">
        <v>27</v>
      </c>
      <c r="F262">
        <v>8513</v>
      </c>
      <c r="G262" t="s">
        <v>11</v>
      </c>
      <c r="H262" t="s">
        <v>17</v>
      </c>
    </row>
    <row r="263" spans="1:8" x14ac:dyDescent="0.25">
      <c r="A263">
        <v>5261</v>
      </c>
      <c r="B263" s="1">
        <v>45691</v>
      </c>
      <c r="C263" t="s">
        <v>23</v>
      </c>
      <c r="D263" t="s">
        <v>14</v>
      </c>
      <c r="E263" t="s">
        <v>15</v>
      </c>
      <c r="F263">
        <v>3099</v>
      </c>
      <c r="G263" t="s">
        <v>19</v>
      </c>
      <c r="H263" t="s">
        <v>17</v>
      </c>
    </row>
    <row r="264" spans="1:8" x14ac:dyDescent="0.25">
      <c r="A264">
        <v>5262</v>
      </c>
      <c r="B264" s="1">
        <v>45725</v>
      </c>
      <c r="C264" t="s">
        <v>21</v>
      </c>
      <c r="D264" t="s">
        <v>9</v>
      </c>
      <c r="E264" t="s">
        <v>18</v>
      </c>
      <c r="F264">
        <v>11462</v>
      </c>
      <c r="G264" t="s">
        <v>11</v>
      </c>
      <c r="H264" t="s">
        <v>17</v>
      </c>
    </row>
    <row r="265" spans="1:8" x14ac:dyDescent="0.25">
      <c r="A265">
        <v>5263</v>
      </c>
      <c r="B265" s="1">
        <v>45760</v>
      </c>
      <c r="C265" t="s">
        <v>8</v>
      </c>
      <c r="D265" t="s">
        <v>14</v>
      </c>
      <c r="E265" t="s">
        <v>18</v>
      </c>
      <c r="F265">
        <v>3610</v>
      </c>
      <c r="G265" t="s">
        <v>16</v>
      </c>
      <c r="H265" t="s">
        <v>12</v>
      </c>
    </row>
    <row r="266" spans="1:8" x14ac:dyDescent="0.25">
      <c r="A266">
        <v>5264</v>
      </c>
      <c r="B266" s="1">
        <v>45706</v>
      </c>
      <c r="C266" t="s">
        <v>25</v>
      </c>
      <c r="D266" t="s">
        <v>9</v>
      </c>
      <c r="E266" t="s">
        <v>10</v>
      </c>
      <c r="F266">
        <v>12910</v>
      </c>
      <c r="G266" t="s">
        <v>11</v>
      </c>
      <c r="H266" t="s">
        <v>17</v>
      </c>
    </row>
    <row r="267" spans="1:8" x14ac:dyDescent="0.25">
      <c r="A267">
        <v>5265</v>
      </c>
      <c r="B267" s="1">
        <v>45739</v>
      </c>
      <c r="C267" t="s">
        <v>23</v>
      </c>
      <c r="D267" t="s">
        <v>20</v>
      </c>
      <c r="E267" t="s">
        <v>26</v>
      </c>
      <c r="F267">
        <v>16370</v>
      </c>
      <c r="G267" t="s">
        <v>19</v>
      </c>
      <c r="H267" t="s">
        <v>12</v>
      </c>
    </row>
    <row r="268" spans="1:8" x14ac:dyDescent="0.25">
      <c r="A268">
        <v>5266</v>
      </c>
      <c r="B268" s="1">
        <v>45663</v>
      </c>
      <c r="C268" t="s">
        <v>25</v>
      </c>
      <c r="D268" t="s">
        <v>20</v>
      </c>
      <c r="E268" t="s">
        <v>15</v>
      </c>
      <c r="F268">
        <v>6126</v>
      </c>
      <c r="G268" t="s">
        <v>16</v>
      </c>
      <c r="H268" t="s">
        <v>17</v>
      </c>
    </row>
    <row r="269" spans="1:8" x14ac:dyDescent="0.25">
      <c r="A269">
        <v>5267</v>
      </c>
      <c r="B269" s="1">
        <v>45760</v>
      </c>
      <c r="C269" t="s">
        <v>21</v>
      </c>
      <c r="D269" t="s">
        <v>14</v>
      </c>
      <c r="E269" t="s">
        <v>27</v>
      </c>
      <c r="F269">
        <v>10959</v>
      </c>
      <c r="G269" t="s">
        <v>11</v>
      </c>
      <c r="H269" t="s">
        <v>17</v>
      </c>
    </row>
    <row r="270" spans="1:8" x14ac:dyDescent="0.25">
      <c r="A270">
        <v>5268</v>
      </c>
      <c r="B270" s="1">
        <v>45775</v>
      </c>
      <c r="C270" t="s">
        <v>25</v>
      </c>
      <c r="D270" t="s">
        <v>22</v>
      </c>
      <c r="E270" t="s">
        <v>10</v>
      </c>
      <c r="F270">
        <v>4793</v>
      </c>
      <c r="G270" t="s">
        <v>16</v>
      </c>
      <c r="H270" t="s">
        <v>17</v>
      </c>
    </row>
    <row r="271" spans="1:8" x14ac:dyDescent="0.25">
      <c r="A271">
        <v>5269</v>
      </c>
      <c r="B271" s="1">
        <v>45663</v>
      </c>
      <c r="C271" t="s">
        <v>13</v>
      </c>
      <c r="D271" t="s">
        <v>9</v>
      </c>
      <c r="E271" t="s">
        <v>24</v>
      </c>
      <c r="F271">
        <v>6651</v>
      </c>
      <c r="G271" t="s">
        <v>11</v>
      </c>
      <c r="H271" t="s">
        <v>12</v>
      </c>
    </row>
    <row r="272" spans="1:8" x14ac:dyDescent="0.25">
      <c r="A272">
        <v>5270</v>
      </c>
      <c r="B272" s="1">
        <v>45736</v>
      </c>
      <c r="C272" t="s">
        <v>21</v>
      </c>
      <c r="D272" t="s">
        <v>20</v>
      </c>
      <c r="E272" t="s">
        <v>18</v>
      </c>
      <c r="F272">
        <v>19737</v>
      </c>
      <c r="G272" t="s">
        <v>11</v>
      </c>
      <c r="H272" t="s">
        <v>17</v>
      </c>
    </row>
    <row r="273" spans="1:8" x14ac:dyDescent="0.25">
      <c r="A273">
        <v>5271</v>
      </c>
      <c r="B273" s="1">
        <v>45763</v>
      </c>
      <c r="C273" t="s">
        <v>21</v>
      </c>
      <c r="D273" t="s">
        <v>22</v>
      </c>
      <c r="E273" t="s">
        <v>15</v>
      </c>
      <c r="F273">
        <v>9026</v>
      </c>
      <c r="G273" t="s">
        <v>16</v>
      </c>
      <c r="H273" t="s">
        <v>12</v>
      </c>
    </row>
    <row r="274" spans="1:8" x14ac:dyDescent="0.25">
      <c r="A274">
        <v>5272</v>
      </c>
      <c r="B274" s="1">
        <v>45691</v>
      </c>
      <c r="C274" t="s">
        <v>23</v>
      </c>
      <c r="D274" t="s">
        <v>22</v>
      </c>
      <c r="E274" t="s">
        <v>27</v>
      </c>
      <c r="F274">
        <v>15937</v>
      </c>
      <c r="G274" t="s">
        <v>11</v>
      </c>
      <c r="H274" t="s">
        <v>12</v>
      </c>
    </row>
    <row r="275" spans="1:8" x14ac:dyDescent="0.25">
      <c r="A275">
        <v>5273</v>
      </c>
      <c r="B275" s="1">
        <v>45688</v>
      </c>
      <c r="C275" t="s">
        <v>25</v>
      </c>
      <c r="D275" t="s">
        <v>20</v>
      </c>
      <c r="E275" t="s">
        <v>15</v>
      </c>
      <c r="F275">
        <v>9631</v>
      </c>
      <c r="G275" t="s">
        <v>19</v>
      </c>
      <c r="H275" t="s">
        <v>17</v>
      </c>
    </row>
    <row r="276" spans="1:8" x14ac:dyDescent="0.25">
      <c r="A276">
        <v>5274</v>
      </c>
      <c r="B276" s="1">
        <v>45704</v>
      </c>
      <c r="C276" t="s">
        <v>21</v>
      </c>
      <c r="D276" t="s">
        <v>14</v>
      </c>
      <c r="E276" t="s">
        <v>10</v>
      </c>
      <c r="F276">
        <v>17917</v>
      </c>
      <c r="G276" t="s">
        <v>19</v>
      </c>
      <c r="H276" t="s">
        <v>17</v>
      </c>
    </row>
    <row r="277" spans="1:8" x14ac:dyDescent="0.25">
      <c r="A277">
        <v>5275</v>
      </c>
      <c r="B277" s="1">
        <v>45725</v>
      </c>
      <c r="C277" t="s">
        <v>13</v>
      </c>
      <c r="D277" t="s">
        <v>20</v>
      </c>
      <c r="E277" t="s">
        <v>15</v>
      </c>
      <c r="F277">
        <v>4343</v>
      </c>
      <c r="G277" t="s">
        <v>16</v>
      </c>
      <c r="H277" t="s">
        <v>12</v>
      </c>
    </row>
    <row r="278" spans="1:8" x14ac:dyDescent="0.25">
      <c r="A278">
        <v>5276</v>
      </c>
      <c r="B278" s="1">
        <v>45725</v>
      </c>
      <c r="C278" t="s">
        <v>21</v>
      </c>
      <c r="D278" t="s">
        <v>22</v>
      </c>
      <c r="E278" t="s">
        <v>10</v>
      </c>
      <c r="F278">
        <v>5418</v>
      </c>
      <c r="G278" t="s">
        <v>19</v>
      </c>
      <c r="H278" t="s">
        <v>17</v>
      </c>
    </row>
    <row r="279" spans="1:8" x14ac:dyDescent="0.25">
      <c r="A279">
        <v>5277</v>
      </c>
      <c r="B279" s="1">
        <v>45755</v>
      </c>
      <c r="C279" t="s">
        <v>13</v>
      </c>
      <c r="D279" t="s">
        <v>22</v>
      </c>
      <c r="E279" t="s">
        <v>15</v>
      </c>
      <c r="F279">
        <v>2483</v>
      </c>
      <c r="G279" t="s">
        <v>16</v>
      </c>
      <c r="H279" t="s">
        <v>17</v>
      </c>
    </row>
    <row r="280" spans="1:8" x14ac:dyDescent="0.25">
      <c r="A280">
        <v>5278</v>
      </c>
      <c r="B280" s="1">
        <v>45757</v>
      </c>
      <c r="C280" t="s">
        <v>23</v>
      </c>
      <c r="D280" t="s">
        <v>9</v>
      </c>
      <c r="E280" t="s">
        <v>26</v>
      </c>
      <c r="F280">
        <v>10308</v>
      </c>
      <c r="G280" t="s">
        <v>11</v>
      </c>
      <c r="H280" t="s">
        <v>12</v>
      </c>
    </row>
    <row r="281" spans="1:8" x14ac:dyDescent="0.25">
      <c r="A281">
        <v>5279</v>
      </c>
      <c r="B281" s="1">
        <v>45686</v>
      </c>
      <c r="C281" t="s">
        <v>25</v>
      </c>
      <c r="D281" t="s">
        <v>20</v>
      </c>
      <c r="E281" t="s">
        <v>27</v>
      </c>
      <c r="F281">
        <v>9369</v>
      </c>
      <c r="G281" t="s">
        <v>16</v>
      </c>
      <c r="H281" t="s">
        <v>17</v>
      </c>
    </row>
    <row r="282" spans="1:8" x14ac:dyDescent="0.25">
      <c r="A282">
        <v>5280</v>
      </c>
      <c r="B282" s="1">
        <v>45722</v>
      </c>
      <c r="C282" t="s">
        <v>13</v>
      </c>
      <c r="D282" t="s">
        <v>9</v>
      </c>
      <c r="E282" t="s">
        <v>18</v>
      </c>
      <c r="F282">
        <v>6041</v>
      </c>
      <c r="G282" t="s">
        <v>19</v>
      </c>
      <c r="H282" t="s">
        <v>12</v>
      </c>
    </row>
    <row r="283" spans="1:8" x14ac:dyDescent="0.25">
      <c r="A283">
        <v>5281</v>
      </c>
      <c r="B283" s="1">
        <v>45751</v>
      </c>
      <c r="C283" t="s">
        <v>13</v>
      </c>
      <c r="D283" t="s">
        <v>20</v>
      </c>
      <c r="E283" t="s">
        <v>27</v>
      </c>
      <c r="F283">
        <v>902</v>
      </c>
      <c r="G283" t="s">
        <v>11</v>
      </c>
      <c r="H283" t="s">
        <v>17</v>
      </c>
    </row>
    <row r="284" spans="1:8" x14ac:dyDescent="0.25">
      <c r="A284">
        <v>5282</v>
      </c>
      <c r="B284" s="1">
        <v>45736</v>
      </c>
      <c r="C284" t="s">
        <v>21</v>
      </c>
      <c r="D284" t="s">
        <v>22</v>
      </c>
      <c r="E284" t="s">
        <v>24</v>
      </c>
      <c r="F284">
        <v>5979</v>
      </c>
      <c r="G284" t="s">
        <v>19</v>
      </c>
      <c r="H284" t="s">
        <v>12</v>
      </c>
    </row>
    <row r="285" spans="1:8" x14ac:dyDescent="0.25">
      <c r="A285">
        <v>5283</v>
      </c>
      <c r="B285" s="1">
        <v>45728</v>
      </c>
      <c r="C285" t="s">
        <v>23</v>
      </c>
      <c r="D285" t="s">
        <v>22</v>
      </c>
      <c r="E285" t="s">
        <v>10</v>
      </c>
      <c r="F285">
        <v>19920</v>
      </c>
      <c r="G285" t="s">
        <v>19</v>
      </c>
      <c r="H285" t="s">
        <v>12</v>
      </c>
    </row>
    <row r="286" spans="1:8" x14ac:dyDescent="0.25">
      <c r="A286">
        <v>5284</v>
      </c>
      <c r="B286" s="1">
        <v>45710</v>
      </c>
      <c r="C286" t="s">
        <v>23</v>
      </c>
      <c r="D286" t="s">
        <v>14</v>
      </c>
      <c r="E286" t="s">
        <v>18</v>
      </c>
      <c r="F286">
        <v>12692</v>
      </c>
      <c r="G286" t="s">
        <v>11</v>
      </c>
      <c r="H286" t="s">
        <v>17</v>
      </c>
    </row>
    <row r="287" spans="1:8" x14ac:dyDescent="0.25">
      <c r="A287">
        <v>5285</v>
      </c>
      <c r="B287" s="1">
        <v>45704</v>
      </c>
      <c r="C287" t="s">
        <v>25</v>
      </c>
      <c r="D287" t="s">
        <v>14</v>
      </c>
      <c r="E287" t="s">
        <v>24</v>
      </c>
      <c r="F287">
        <v>8401</v>
      </c>
      <c r="G287" t="s">
        <v>19</v>
      </c>
      <c r="H287" t="s">
        <v>17</v>
      </c>
    </row>
    <row r="288" spans="1:8" x14ac:dyDescent="0.25">
      <c r="A288">
        <v>5286</v>
      </c>
      <c r="B288" s="1">
        <v>45676</v>
      </c>
      <c r="C288" t="s">
        <v>25</v>
      </c>
      <c r="D288" t="s">
        <v>14</v>
      </c>
      <c r="E288" t="s">
        <v>10</v>
      </c>
      <c r="F288">
        <v>10897</v>
      </c>
      <c r="G288" t="s">
        <v>16</v>
      </c>
      <c r="H288" t="s">
        <v>17</v>
      </c>
    </row>
    <row r="289" spans="1:8" x14ac:dyDescent="0.25">
      <c r="A289">
        <v>5287</v>
      </c>
      <c r="B289" s="1">
        <v>45697</v>
      </c>
      <c r="C289" t="s">
        <v>23</v>
      </c>
      <c r="D289" t="s">
        <v>9</v>
      </c>
      <c r="E289" t="s">
        <v>27</v>
      </c>
      <c r="F289">
        <v>11536</v>
      </c>
      <c r="G289" t="s">
        <v>16</v>
      </c>
      <c r="H289" t="s">
        <v>17</v>
      </c>
    </row>
    <row r="290" spans="1:8" x14ac:dyDescent="0.25">
      <c r="A290">
        <v>5288</v>
      </c>
      <c r="B290" s="1">
        <v>45712</v>
      </c>
      <c r="C290" t="s">
        <v>13</v>
      </c>
      <c r="D290" t="s">
        <v>14</v>
      </c>
      <c r="E290" t="s">
        <v>18</v>
      </c>
      <c r="F290">
        <v>18091</v>
      </c>
      <c r="G290" t="s">
        <v>16</v>
      </c>
      <c r="H290" t="s">
        <v>17</v>
      </c>
    </row>
    <row r="291" spans="1:8" x14ac:dyDescent="0.25">
      <c r="A291">
        <v>5289</v>
      </c>
      <c r="B291" s="1">
        <v>45761</v>
      </c>
      <c r="C291" t="s">
        <v>25</v>
      </c>
      <c r="D291" t="s">
        <v>22</v>
      </c>
      <c r="E291" t="s">
        <v>18</v>
      </c>
      <c r="F291">
        <v>15182</v>
      </c>
      <c r="G291" t="s">
        <v>16</v>
      </c>
      <c r="H291" t="s">
        <v>17</v>
      </c>
    </row>
    <row r="292" spans="1:8" x14ac:dyDescent="0.25">
      <c r="A292">
        <v>5290</v>
      </c>
      <c r="B292" s="1">
        <v>45685</v>
      </c>
      <c r="C292" t="s">
        <v>13</v>
      </c>
      <c r="D292" t="s">
        <v>14</v>
      </c>
      <c r="E292" t="s">
        <v>27</v>
      </c>
      <c r="F292">
        <v>6016</v>
      </c>
      <c r="G292" t="s">
        <v>19</v>
      </c>
      <c r="H292" t="s">
        <v>17</v>
      </c>
    </row>
    <row r="293" spans="1:8" x14ac:dyDescent="0.25">
      <c r="A293">
        <v>5291</v>
      </c>
      <c r="B293" s="1">
        <v>45675</v>
      </c>
      <c r="C293" t="s">
        <v>8</v>
      </c>
      <c r="D293" t="s">
        <v>14</v>
      </c>
      <c r="E293" t="s">
        <v>24</v>
      </c>
      <c r="F293">
        <v>571</v>
      </c>
      <c r="G293" t="s">
        <v>16</v>
      </c>
      <c r="H293" t="s">
        <v>12</v>
      </c>
    </row>
    <row r="294" spans="1:8" x14ac:dyDescent="0.25">
      <c r="A294">
        <v>5292</v>
      </c>
      <c r="B294" s="1">
        <v>45749</v>
      </c>
      <c r="C294" t="s">
        <v>8</v>
      </c>
      <c r="D294" t="s">
        <v>20</v>
      </c>
      <c r="E294" t="s">
        <v>18</v>
      </c>
      <c r="F294">
        <v>9595</v>
      </c>
      <c r="G294" t="s">
        <v>16</v>
      </c>
      <c r="H294" t="s">
        <v>17</v>
      </c>
    </row>
    <row r="295" spans="1:8" x14ac:dyDescent="0.25">
      <c r="A295">
        <v>5293</v>
      </c>
      <c r="B295" s="1">
        <v>45741</v>
      </c>
      <c r="C295" t="s">
        <v>8</v>
      </c>
      <c r="D295" t="s">
        <v>14</v>
      </c>
      <c r="E295" t="s">
        <v>15</v>
      </c>
      <c r="F295">
        <v>11668</v>
      </c>
      <c r="G295" t="s">
        <v>11</v>
      </c>
      <c r="H295" t="s">
        <v>17</v>
      </c>
    </row>
    <row r="296" spans="1:8" x14ac:dyDescent="0.25">
      <c r="A296">
        <v>5294</v>
      </c>
      <c r="B296" s="1">
        <v>45734</v>
      </c>
      <c r="C296" t="s">
        <v>25</v>
      </c>
      <c r="D296" t="s">
        <v>9</v>
      </c>
      <c r="E296" t="s">
        <v>26</v>
      </c>
      <c r="F296">
        <v>12967</v>
      </c>
      <c r="G296" t="s">
        <v>11</v>
      </c>
      <c r="H296" t="s">
        <v>12</v>
      </c>
    </row>
    <row r="297" spans="1:8" x14ac:dyDescent="0.25">
      <c r="A297">
        <v>5295</v>
      </c>
      <c r="B297" s="1">
        <v>45754</v>
      </c>
      <c r="C297" t="s">
        <v>23</v>
      </c>
      <c r="D297" t="s">
        <v>9</v>
      </c>
      <c r="E297" t="s">
        <v>24</v>
      </c>
      <c r="F297">
        <v>11282</v>
      </c>
      <c r="G297" t="s">
        <v>11</v>
      </c>
      <c r="H297" t="s">
        <v>17</v>
      </c>
    </row>
    <row r="298" spans="1:8" x14ac:dyDescent="0.25">
      <c r="A298">
        <v>5296</v>
      </c>
      <c r="B298" s="1">
        <v>45680</v>
      </c>
      <c r="C298" t="s">
        <v>21</v>
      </c>
      <c r="D298" t="s">
        <v>9</v>
      </c>
      <c r="E298" t="s">
        <v>10</v>
      </c>
      <c r="F298">
        <v>3978</v>
      </c>
      <c r="G298" t="s">
        <v>11</v>
      </c>
      <c r="H298" t="s">
        <v>17</v>
      </c>
    </row>
    <row r="299" spans="1:8" x14ac:dyDescent="0.25">
      <c r="A299">
        <v>5297</v>
      </c>
      <c r="B299" s="1">
        <v>45734</v>
      </c>
      <c r="C299" t="s">
        <v>13</v>
      </c>
      <c r="D299" t="s">
        <v>14</v>
      </c>
      <c r="E299" t="s">
        <v>10</v>
      </c>
      <c r="F299">
        <v>11880</v>
      </c>
      <c r="G299" t="s">
        <v>19</v>
      </c>
      <c r="H299" t="s">
        <v>12</v>
      </c>
    </row>
    <row r="300" spans="1:8" x14ac:dyDescent="0.25">
      <c r="A300">
        <v>5298</v>
      </c>
      <c r="B300" s="1">
        <v>45767</v>
      </c>
      <c r="C300" t="s">
        <v>21</v>
      </c>
      <c r="D300" t="s">
        <v>20</v>
      </c>
      <c r="E300" t="s">
        <v>24</v>
      </c>
      <c r="F300">
        <v>19978</v>
      </c>
      <c r="G300" t="s">
        <v>16</v>
      </c>
      <c r="H300" t="s">
        <v>12</v>
      </c>
    </row>
    <row r="301" spans="1:8" x14ac:dyDescent="0.25">
      <c r="A301">
        <v>5299</v>
      </c>
      <c r="B301" s="1">
        <v>45760</v>
      </c>
      <c r="C301" t="s">
        <v>23</v>
      </c>
      <c r="D301" t="s">
        <v>22</v>
      </c>
      <c r="E301" t="s">
        <v>26</v>
      </c>
      <c r="F301">
        <v>5905</v>
      </c>
      <c r="G301" t="s">
        <v>16</v>
      </c>
      <c r="H30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971B-8A4E-44B0-9E2D-83210FD7AB54}">
  <dimension ref="A1:S301"/>
  <sheetViews>
    <sheetView workbookViewId="0">
      <pane ySplit="1" topLeftCell="A282" activePane="bottomLeft" state="frozen"/>
      <selection pane="bottomLeft" activeCell="L292" sqref="L292"/>
    </sheetView>
  </sheetViews>
  <sheetFormatPr defaultRowHeight="15" x14ac:dyDescent="0.25"/>
  <cols>
    <col min="1" max="1" width="14.42578125" bestFit="1" customWidth="1"/>
    <col min="2" max="2" width="10.42578125" style="10" bestFit="1" customWidth="1"/>
    <col min="3" max="3" width="6.7109375" style="10" bestFit="1" customWidth="1"/>
    <col min="4" max="4" width="11.85546875" bestFit="1" customWidth="1"/>
    <col min="5" max="5" width="9.7109375" bestFit="1" customWidth="1"/>
    <col min="6" max="6" width="14" bestFit="1" customWidth="1"/>
    <col min="7" max="7" width="18.140625" customWidth="1"/>
    <col min="8" max="8" width="12.85546875" style="12" bestFit="1" customWidth="1"/>
    <col min="9" max="9" width="16.7109375" bestFit="1" customWidth="1"/>
    <col min="10" max="10" width="9.5703125" bestFit="1" customWidth="1"/>
    <col min="11" max="11" width="14" bestFit="1" customWidth="1"/>
    <col min="12" max="12" width="15.28515625" bestFit="1" customWidth="1"/>
    <col min="13" max="13" width="14.42578125" bestFit="1" customWidth="1"/>
    <col min="14" max="14" width="9.85546875" bestFit="1" customWidth="1"/>
    <col min="16" max="16" width="27" bestFit="1" customWidth="1"/>
    <col min="18" max="18" width="14.140625" bestFit="1" customWidth="1"/>
    <col min="19" max="19" width="20.42578125" bestFit="1" customWidth="1"/>
  </cols>
  <sheetData>
    <row r="1" spans="1:19" x14ac:dyDescent="0.25">
      <c r="A1" s="8" t="s">
        <v>29</v>
      </c>
      <c r="B1" s="9" t="s">
        <v>1</v>
      </c>
      <c r="C1" s="9" t="s">
        <v>28</v>
      </c>
      <c r="D1" s="8" t="s">
        <v>2</v>
      </c>
      <c r="E1" s="8" t="s">
        <v>3</v>
      </c>
      <c r="F1" s="8" t="s">
        <v>30</v>
      </c>
      <c r="G1" s="8" t="s">
        <v>33</v>
      </c>
      <c r="H1" s="11" t="s">
        <v>5</v>
      </c>
      <c r="I1" s="8" t="s">
        <v>31</v>
      </c>
      <c r="J1" s="8" t="s">
        <v>7</v>
      </c>
      <c r="K1" s="8" t="s">
        <v>32</v>
      </c>
      <c r="L1" s="5"/>
      <c r="M1" s="5"/>
      <c r="N1" s="5"/>
      <c r="P1" s="5"/>
      <c r="Q1" s="6"/>
      <c r="R1" s="5"/>
      <c r="S1" s="5"/>
    </row>
    <row r="2" spans="1:19" x14ac:dyDescent="0.25">
      <c r="A2">
        <v>5298</v>
      </c>
      <c r="B2" s="10">
        <v>45767</v>
      </c>
      <c r="C2" s="10" t="str">
        <f t="shared" ref="C2:C65" si="0">TEXT(B2,"MMM")</f>
        <v>Apr</v>
      </c>
      <c r="D2" t="s">
        <v>21</v>
      </c>
      <c r="E2" t="s">
        <v>20</v>
      </c>
      <c r="F2" t="s">
        <v>24</v>
      </c>
      <c r="G2" t="str">
        <f t="shared" ref="G2:G65" si="1">IF(F2="Salaries","Fixed","Variable")</f>
        <v>Variable</v>
      </c>
      <c r="H2" s="12">
        <v>19978</v>
      </c>
      <c r="I2" t="s">
        <v>16</v>
      </c>
      <c r="J2" t="s">
        <v>12</v>
      </c>
      <c r="K2">
        <f t="shared" ref="K2:K65" si="2">IF(J2="Yes",1,0)</f>
        <v>1</v>
      </c>
      <c r="N2" s="4"/>
    </row>
    <row r="3" spans="1:19" x14ac:dyDescent="0.25">
      <c r="A3">
        <v>5012</v>
      </c>
      <c r="B3" s="10">
        <v>45726</v>
      </c>
      <c r="C3" s="10" t="str">
        <f t="shared" si="0"/>
        <v>Mar</v>
      </c>
      <c r="D3" t="s">
        <v>23</v>
      </c>
      <c r="E3" t="s">
        <v>14</v>
      </c>
      <c r="F3" t="s">
        <v>26</v>
      </c>
      <c r="G3" t="str">
        <f t="shared" si="1"/>
        <v>Variable</v>
      </c>
      <c r="H3" s="12">
        <v>19933</v>
      </c>
      <c r="I3" t="s">
        <v>11</v>
      </c>
      <c r="J3" t="s">
        <v>12</v>
      </c>
      <c r="K3">
        <f t="shared" si="2"/>
        <v>1</v>
      </c>
      <c r="N3" s="4"/>
    </row>
    <row r="4" spans="1:19" x14ac:dyDescent="0.25">
      <c r="A4">
        <v>5035</v>
      </c>
      <c r="B4" s="10">
        <v>45725</v>
      </c>
      <c r="C4" s="10" t="str">
        <f t="shared" si="0"/>
        <v>Mar</v>
      </c>
      <c r="D4" t="s">
        <v>8</v>
      </c>
      <c r="E4" t="s">
        <v>9</v>
      </c>
      <c r="F4" t="s">
        <v>10</v>
      </c>
      <c r="G4" t="str">
        <f t="shared" si="1"/>
        <v>Fixed</v>
      </c>
      <c r="H4" s="12">
        <v>19931</v>
      </c>
      <c r="I4" t="s">
        <v>19</v>
      </c>
      <c r="J4" t="s">
        <v>12</v>
      </c>
      <c r="K4">
        <f t="shared" si="2"/>
        <v>1</v>
      </c>
      <c r="N4" s="4"/>
    </row>
    <row r="5" spans="1:19" x14ac:dyDescent="0.25">
      <c r="A5">
        <v>5283</v>
      </c>
      <c r="B5" s="10">
        <v>45728</v>
      </c>
      <c r="C5" s="10" t="str">
        <f t="shared" si="0"/>
        <v>Mar</v>
      </c>
      <c r="D5" t="s">
        <v>23</v>
      </c>
      <c r="E5" t="s">
        <v>22</v>
      </c>
      <c r="F5" t="s">
        <v>10</v>
      </c>
      <c r="G5" t="str">
        <f t="shared" si="1"/>
        <v>Fixed</v>
      </c>
      <c r="H5" s="12">
        <v>19920</v>
      </c>
      <c r="I5" t="s">
        <v>19</v>
      </c>
      <c r="J5" t="s">
        <v>12</v>
      </c>
      <c r="K5">
        <f t="shared" si="2"/>
        <v>1</v>
      </c>
      <c r="N5" s="4"/>
    </row>
    <row r="6" spans="1:19" x14ac:dyDescent="0.25">
      <c r="A6">
        <v>5003</v>
      </c>
      <c r="B6" s="10">
        <v>45663</v>
      </c>
      <c r="C6" s="10" t="str">
        <f t="shared" si="0"/>
        <v>Jan</v>
      </c>
      <c r="D6" t="s">
        <v>13</v>
      </c>
      <c r="E6" t="s">
        <v>20</v>
      </c>
      <c r="F6" t="s">
        <v>10</v>
      </c>
      <c r="G6" t="str">
        <f t="shared" si="1"/>
        <v>Fixed</v>
      </c>
      <c r="H6" s="12">
        <v>19779</v>
      </c>
      <c r="I6" t="s">
        <v>16</v>
      </c>
      <c r="J6" t="s">
        <v>17</v>
      </c>
      <c r="K6">
        <f t="shared" si="2"/>
        <v>0</v>
      </c>
      <c r="N6" s="4"/>
    </row>
    <row r="7" spans="1:19" x14ac:dyDescent="0.25">
      <c r="A7">
        <v>5016</v>
      </c>
      <c r="B7" s="10">
        <v>45721</v>
      </c>
      <c r="C7" s="10" t="str">
        <f t="shared" si="0"/>
        <v>Mar</v>
      </c>
      <c r="D7" t="s">
        <v>23</v>
      </c>
      <c r="E7" t="s">
        <v>20</v>
      </c>
      <c r="F7" t="s">
        <v>26</v>
      </c>
      <c r="G7" t="str">
        <f t="shared" si="1"/>
        <v>Variable</v>
      </c>
      <c r="H7" s="12">
        <v>19761</v>
      </c>
      <c r="I7" t="s">
        <v>16</v>
      </c>
      <c r="J7" t="s">
        <v>12</v>
      </c>
      <c r="K7">
        <f t="shared" si="2"/>
        <v>1</v>
      </c>
      <c r="N7" s="4"/>
    </row>
    <row r="8" spans="1:19" x14ac:dyDescent="0.25">
      <c r="A8">
        <v>5270</v>
      </c>
      <c r="B8" s="10">
        <v>45736</v>
      </c>
      <c r="C8" s="10" t="str">
        <f t="shared" si="0"/>
        <v>Mar</v>
      </c>
      <c r="D8" t="s">
        <v>21</v>
      </c>
      <c r="E8" t="s">
        <v>20</v>
      </c>
      <c r="F8" t="s">
        <v>18</v>
      </c>
      <c r="G8" t="str">
        <f t="shared" si="1"/>
        <v>Variable</v>
      </c>
      <c r="H8" s="12">
        <v>19737</v>
      </c>
      <c r="I8" t="s">
        <v>11</v>
      </c>
      <c r="J8" t="s">
        <v>17</v>
      </c>
      <c r="K8">
        <f t="shared" si="2"/>
        <v>0</v>
      </c>
      <c r="N8" s="4"/>
    </row>
    <row r="9" spans="1:19" x14ac:dyDescent="0.25">
      <c r="A9">
        <v>5198</v>
      </c>
      <c r="B9" s="10">
        <v>45704</v>
      </c>
      <c r="C9" s="10" t="str">
        <f t="shared" si="0"/>
        <v>Feb</v>
      </c>
      <c r="D9" t="s">
        <v>8</v>
      </c>
      <c r="E9" t="s">
        <v>20</v>
      </c>
      <c r="F9" t="s">
        <v>26</v>
      </c>
      <c r="G9" t="str">
        <f t="shared" si="1"/>
        <v>Variable</v>
      </c>
      <c r="H9" s="12">
        <v>19727</v>
      </c>
      <c r="I9" t="s">
        <v>16</v>
      </c>
      <c r="J9" t="s">
        <v>12</v>
      </c>
      <c r="K9">
        <f t="shared" si="2"/>
        <v>1</v>
      </c>
      <c r="N9" s="4"/>
    </row>
    <row r="10" spans="1:19" x14ac:dyDescent="0.25">
      <c r="A10">
        <v>5222</v>
      </c>
      <c r="B10" s="10">
        <v>45676</v>
      </c>
      <c r="C10" s="10" t="str">
        <f t="shared" si="0"/>
        <v>Jan</v>
      </c>
      <c r="D10" t="s">
        <v>21</v>
      </c>
      <c r="E10" t="s">
        <v>20</v>
      </c>
      <c r="F10" t="s">
        <v>10</v>
      </c>
      <c r="G10" t="str">
        <f t="shared" si="1"/>
        <v>Fixed</v>
      </c>
      <c r="H10" s="12">
        <v>19727</v>
      </c>
      <c r="I10" t="s">
        <v>11</v>
      </c>
      <c r="J10" t="s">
        <v>12</v>
      </c>
      <c r="K10">
        <f t="shared" si="2"/>
        <v>1</v>
      </c>
    </row>
    <row r="11" spans="1:19" x14ac:dyDescent="0.25">
      <c r="A11">
        <v>5146</v>
      </c>
      <c r="B11" s="10">
        <v>45777</v>
      </c>
      <c r="C11" s="10" t="str">
        <f t="shared" si="0"/>
        <v>Apr</v>
      </c>
      <c r="D11" t="s">
        <v>13</v>
      </c>
      <c r="E11" t="s">
        <v>9</v>
      </c>
      <c r="F11" t="s">
        <v>27</v>
      </c>
      <c r="G11" t="str">
        <f t="shared" si="1"/>
        <v>Variable</v>
      </c>
      <c r="H11" s="12">
        <v>19716</v>
      </c>
      <c r="I11" t="s">
        <v>11</v>
      </c>
      <c r="J11" t="s">
        <v>12</v>
      </c>
      <c r="K11">
        <f t="shared" si="2"/>
        <v>1</v>
      </c>
    </row>
    <row r="12" spans="1:19" x14ac:dyDescent="0.25">
      <c r="A12">
        <v>5100</v>
      </c>
      <c r="B12" s="10">
        <v>45759</v>
      </c>
      <c r="C12" s="10" t="str">
        <f t="shared" si="0"/>
        <v>Apr</v>
      </c>
      <c r="D12" t="s">
        <v>25</v>
      </c>
      <c r="E12" t="s">
        <v>14</v>
      </c>
      <c r="F12" t="s">
        <v>27</v>
      </c>
      <c r="G12" t="str">
        <f t="shared" si="1"/>
        <v>Variable</v>
      </c>
      <c r="H12" s="12">
        <v>19692</v>
      </c>
      <c r="I12" t="s">
        <v>19</v>
      </c>
      <c r="J12" t="s">
        <v>12</v>
      </c>
      <c r="K12">
        <f t="shared" si="2"/>
        <v>1</v>
      </c>
    </row>
    <row r="13" spans="1:19" x14ac:dyDescent="0.25">
      <c r="A13">
        <v>5189</v>
      </c>
      <c r="B13" s="10">
        <v>45699</v>
      </c>
      <c r="C13" s="10" t="str">
        <f t="shared" si="0"/>
        <v>Feb</v>
      </c>
      <c r="D13" t="s">
        <v>13</v>
      </c>
      <c r="E13" t="s">
        <v>20</v>
      </c>
      <c r="F13" t="s">
        <v>15</v>
      </c>
      <c r="G13" t="str">
        <f t="shared" si="1"/>
        <v>Variable</v>
      </c>
      <c r="H13" s="12">
        <v>19690</v>
      </c>
      <c r="I13" t="s">
        <v>16</v>
      </c>
      <c r="J13" t="s">
        <v>17</v>
      </c>
      <c r="K13">
        <f t="shared" si="2"/>
        <v>0</v>
      </c>
    </row>
    <row r="14" spans="1:19" x14ac:dyDescent="0.25">
      <c r="A14">
        <v>5102</v>
      </c>
      <c r="B14" s="10">
        <v>45749</v>
      </c>
      <c r="C14" s="10" t="str">
        <f t="shared" si="0"/>
        <v>Apr</v>
      </c>
      <c r="D14" t="s">
        <v>8</v>
      </c>
      <c r="E14" t="s">
        <v>22</v>
      </c>
      <c r="F14" t="s">
        <v>15</v>
      </c>
      <c r="G14" t="str">
        <f t="shared" si="1"/>
        <v>Variable</v>
      </c>
      <c r="H14" s="12">
        <v>19621</v>
      </c>
      <c r="I14" t="s">
        <v>11</v>
      </c>
      <c r="J14" t="s">
        <v>12</v>
      </c>
      <c r="K14">
        <f t="shared" si="2"/>
        <v>1</v>
      </c>
    </row>
    <row r="15" spans="1:19" x14ac:dyDescent="0.25">
      <c r="A15">
        <v>5077</v>
      </c>
      <c r="B15" s="10">
        <v>45740</v>
      </c>
      <c r="C15" s="10" t="str">
        <f t="shared" si="0"/>
        <v>Mar</v>
      </c>
      <c r="D15" t="s">
        <v>13</v>
      </c>
      <c r="E15" t="s">
        <v>20</v>
      </c>
      <c r="F15" t="s">
        <v>10</v>
      </c>
      <c r="G15" t="str">
        <f t="shared" si="1"/>
        <v>Fixed</v>
      </c>
      <c r="H15" s="12">
        <v>19402</v>
      </c>
      <c r="I15" t="s">
        <v>16</v>
      </c>
      <c r="J15" t="s">
        <v>17</v>
      </c>
      <c r="K15">
        <f t="shared" si="2"/>
        <v>0</v>
      </c>
    </row>
    <row r="16" spans="1:19" x14ac:dyDescent="0.25">
      <c r="A16">
        <v>5008</v>
      </c>
      <c r="B16" s="10">
        <v>45676</v>
      </c>
      <c r="C16" s="10" t="str">
        <f t="shared" si="0"/>
        <v>Jan</v>
      </c>
      <c r="D16" t="s">
        <v>8</v>
      </c>
      <c r="E16" t="s">
        <v>20</v>
      </c>
      <c r="F16" t="s">
        <v>18</v>
      </c>
      <c r="G16" t="str">
        <f t="shared" si="1"/>
        <v>Variable</v>
      </c>
      <c r="H16" s="12">
        <v>19400</v>
      </c>
      <c r="I16" t="s">
        <v>19</v>
      </c>
      <c r="J16" t="s">
        <v>12</v>
      </c>
      <c r="K16">
        <f t="shared" si="2"/>
        <v>1</v>
      </c>
    </row>
    <row r="17" spans="1:11" x14ac:dyDescent="0.25">
      <c r="A17">
        <v>5099</v>
      </c>
      <c r="B17" s="10">
        <v>45729</v>
      </c>
      <c r="C17" s="10" t="str">
        <f t="shared" si="0"/>
        <v>Mar</v>
      </c>
      <c r="D17" t="s">
        <v>25</v>
      </c>
      <c r="E17" t="s">
        <v>22</v>
      </c>
      <c r="F17" t="s">
        <v>15</v>
      </c>
      <c r="G17" t="str">
        <f t="shared" si="1"/>
        <v>Variable</v>
      </c>
      <c r="H17" s="12">
        <v>19352</v>
      </c>
      <c r="I17" t="s">
        <v>19</v>
      </c>
      <c r="J17" t="s">
        <v>17</v>
      </c>
      <c r="K17">
        <f t="shared" si="2"/>
        <v>0</v>
      </c>
    </row>
    <row r="18" spans="1:11" x14ac:dyDescent="0.25">
      <c r="A18">
        <v>5182</v>
      </c>
      <c r="B18" s="10">
        <v>45728</v>
      </c>
      <c r="C18" s="10" t="str">
        <f t="shared" si="0"/>
        <v>Mar</v>
      </c>
      <c r="D18" t="s">
        <v>23</v>
      </c>
      <c r="E18" t="s">
        <v>22</v>
      </c>
      <c r="F18" t="s">
        <v>26</v>
      </c>
      <c r="G18" t="str">
        <f t="shared" si="1"/>
        <v>Variable</v>
      </c>
      <c r="H18" s="12">
        <v>19162</v>
      </c>
      <c r="I18" t="s">
        <v>19</v>
      </c>
      <c r="J18" t="s">
        <v>12</v>
      </c>
      <c r="K18">
        <f t="shared" si="2"/>
        <v>1</v>
      </c>
    </row>
    <row r="19" spans="1:11" x14ac:dyDescent="0.25">
      <c r="A19">
        <v>5029</v>
      </c>
      <c r="B19" s="10">
        <v>45722</v>
      </c>
      <c r="C19" s="10" t="str">
        <f t="shared" si="0"/>
        <v>Mar</v>
      </c>
      <c r="D19" t="s">
        <v>8</v>
      </c>
      <c r="E19" t="s">
        <v>20</v>
      </c>
      <c r="F19" t="s">
        <v>10</v>
      </c>
      <c r="G19" t="str">
        <f t="shared" si="1"/>
        <v>Fixed</v>
      </c>
      <c r="H19" s="12">
        <v>19128</v>
      </c>
      <c r="I19" t="s">
        <v>11</v>
      </c>
      <c r="J19" t="s">
        <v>17</v>
      </c>
      <c r="K19">
        <f t="shared" si="2"/>
        <v>0</v>
      </c>
    </row>
    <row r="20" spans="1:11" x14ac:dyDescent="0.25">
      <c r="A20">
        <v>5149</v>
      </c>
      <c r="B20" s="10">
        <v>45769</v>
      </c>
      <c r="C20" s="10" t="str">
        <f t="shared" si="0"/>
        <v>Apr</v>
      </c>
      <c r="D20" t="s">
        <v>13</v>
      </c>
      <c r="E20" t="s">
        <v>9</v>
      </c>
      <c r="F20" t="s">
        <v>26</v>
      </c>
      <c r="G20" t="str">
        <f t="shared" si="1"/>
        <v>Variable</v>
      </c>
      <c r="H20" s="12">
        <v>19055</v>
      </c>
      <c r="I20" t="s">
        <v>11</v>
      </c>
      <c r="J20" t="s">
        <v>17</v>
      </c>
      <c r="K20">
        <f t="shared" si="2"/>
        <v>0</v>
      </c>
    </row>
    <row r="21" spans="1:11" x14ac:dyDescent="0.25">
      <c r="A21">
        <v>5175</v>
      </c>
      <c r="B21" s="10">
        <v>45685</v>
      </c>
      <c r="C21" s="10" t="str">
        <f t="shared" si="0"/>
        <v>Jan</v>
      </c>
      <c r="D21" t="s">
        <v>23</v>
      </c>
      <c r="E21" t="s">
        <v>9</v>
      </c>
      <c r="F21" t="s">
        <v>10</v>
      </c>
      <c r="G21" t="str">
        <f t="shared" si="1"/>
        <v>Fixed</v>
      </c>
      <c r="H21" s="12">
        <v>18975</v>
      </c>
      <c r="I21" t="s">
        <v>11</v>
      </c>
      <c r="J21" t="s">
        <v>12</v>
      </c>
      <c r="K21">
        <f t="shared" si="2"/>
        <v>1</v>
      </c>
    </row>
    <row r="22" spans="1:11" x14ac:dyDescent="0.25">
      <c r="A22">
        <v>5165</v>
      </c>
      <c r="B22" s="10">
        <v>45717</v>
      </c>
      <c r="C22" s="10" t="str">
        <f t="shared" si="0"/>
        <v>Mar</v>
      </c>
      <c r="D22" t="s">
        <v>13</v>
      </c>
      <c r="E22" t="s">
        <v>20</v>
      </c>
      <c r="F22" t="s">
        <v>18</v>
      </c>
      <c r="G22" t="str">
        <f t="shared" si="1"/>
        <v>Variable</v>
      </c>
      <c r="H22" s="12">
        <v>18880</v>
      </c>
      <c r="I22" t="s">
        <v>16</v>
      </c>
      <c r="J22" t="s">
        <v>17</v>
      </c>
      <c r="K22">
        <f t="shared" si="2"/>
        <v>0</v>
      </c>
    </row>
    <row r="23" spans="1:11" x14ac:dyDescent="0.25">
      <c r="A23">
        <v>5083</v>
      </c>
      <c r="B23" s="10">
        <v>45776</v>
      </c>
      <c r="C23" s="10" t="str">
        <f t="shared" si="0"/>
        <v>Apr</v>
      </c>
      <c r="D23" t="s">
        <v>25</v>
      </c>
      <c r="E23" t="s">
        <v>22</v>
      </c>
      <c r="F23" t="s">
        <v>18</v>
      </c>
      <c r="G23" t="str">
        <f t="shared" si="1"/>
        <v>Variable</v>
      </c>
      <c r="H23" s="12">
        <v>18852</v>
      </c>
      <c r="I23" t="s">
        <v>19</v>
      </c>
      <c r="J23" t="s">
        <v>17</v>
      </c>
      <c r="K23">
        <f t="shared" si="2"/>
        <v>0</v>
      </c>
    </row>
    <row r="24" spans="1:11" x14ac:dyDescent="0.25">
      <c r="A24">
        <v>5213</v>
      </c>
      <c r="B24" s="10">
        <v>45762</v>
      </c>
      <c r="C24" s="10" t="str">
        <f t="shared" si="0"/>
        <v>Apr</v>
      </c>
      <c r="D24" t="s">
        <v>23</v>
      </c>
      <c r="E24" t="s">
        <v>14</v>
      </c>
      <c r="F24" t="s">
        <v>15</v>
      </c>
      <c r="G24" t="str">
        <f t="shared" si="1"/>
        <v>Variable</v>
      </c>
      <c r="H24" s="12">
        <v>18687</v>
      </c>
      <c r="I24" t="s">
        <v>19</v>
      </c>
      <c r="J24" t="s">
        <v>17</v>
      </c>
      <c r="K24">
        <f t="shared" si="2"/>
        <v>0</v>
      </c>
    </row>
    <row r="25" spans="1:11" x14ac:dyDescent="0.25">
      <c r="A25">
        <v>5051</v>
      </c>
      <c r="B25" s="10">
        <v>45735</v>
      </c>
      <c r="C25" s="10" t="str">
        <f t="shared" si="0"/>
        <v>Mar</v>
      </c>
      <c r="D25" t="s">
        <v>8</v>
      </c>
      <c r="E25" t="s">
        <v>9</v>
      </c>
      <c r="F25" t="s">
        <v>27</v>
      </c>
      <c r="G25" t="str">
        <f t="shared" si="1"/>
        <v>Variable</v>
      </c>
      <c r="H25" s="12">
        <v>18682</v>
      </c>
      <c r="I25" t="s">
        <v>11</v>
      </c>
      <c r="J25" t="s">
        <v>12</v>
      </c>
      <c r="K25">
        <f t="shared" si="2"/>
        <v>1</v>
      </c>
    </row>
    <row r="26" spans="1:11" x14ac:dyDescent="0.25">
      <c r="A26">
        <v>5052</v>
      </c>
      <c r="B26" s="10">
        <v>45710</v>
      </c>
      <c r="C26" s="10" t="str">
        <f t="shared" si="0"/>
        <v>Feb</v>
      </c>
      <c r="D26" t="s">
        <v>13</v>
      </c>
      <c r="E26" t="s">
        <v>14</v>
      </c>
      <c r="F26" t="s">
        <v>10</v>
      </c>
      <c r="G26" t="str">
        <f t="shared" si="1"/>
        <v>Fixed</v>
      </c>
      <c r="H26" s="12">
        <v>18362</v>
      </c>
      <c r="I26" t="s">
        <v>11</v>
      </c>
      <c r="J26" t="s">
        <v>17</v>
      </c>
      <c r="K26">
        <f t="shared" si="2"/>
        <v>0</v>
      </c>
    </row>
    <row r="27" spans="1:11" x14ac:dyDescent="0.25">
      <c r="A27">
        <v>5127</v>
      </c>
      <c r="B27" s="10">
        <v>45757</v>
      </c>
      <c r="C27" s="10" t="str">
        <f t="shared" si="0"/>
        <v>Apr</v>
      </c>
      <c r="D27" t="s">
        <v>13</v>
      </c>
      <c r="E27" t="s">
        <v>20</v>
      </c>
      <c r="F27" t="s">
        <v>24</v>
      </c>
      <c r="G27" t="str">
        <f t="shared" si="1"/>
        <v>Variable</v>
      </c>
      <c r="H27" s="12">
        <v>18339</v>
      </c>
      <c r="I27" t="s">
        <v>19</v>
      </c>
      <c r="J27" t="s">
        <v>12</v>
      </c>
      <c r="K27">
        <f t="shared" si="2"/>
        <v>1</v>
      </c>
    </row>
    <row r="28" spans="1:11" x14ac:dyDescent="0.25">
      <c r="A28">
        <v>5288</v>
      </c>
      <c r="B28" s="10">
        <v>45712</v>
      </c>
      <c r="C28" s="10" t="str">
        <f t="shared" si="0"/>
        <v>Feb</v>
      </c>
      <c r="D28" t="s">
        <v>13</v>
      </c>
      <c r="E28" t="s">
        <v>14</v>
      </c>
      <c r="F28" t="s">
        <v>18</v>
      </c>
      <c r="G28" t="str">
        <f t="shared" si="1"/>
        <v>Variable</v>
      </c>
      <c r="H28" s="12">
        <v>18091</v>
      </c>
      <c r="I28" t="s">
        <v>16</v>
      </c>
      <c r="J28" t="s">
        <v>17</v>
      </c>
      <c r="K28">
        <f t="shared" si="2"/>
        <v>0</v>
      </c>
    </row>
    <row r="29" spans="1:11" x14ac:dyDescent="0.25">
      <c r="A29">
        <v>5139</v>
      </c>
      <c r="B29" s="10">
        <v>45697</v>
      </c>
      <c r="C29" s="10" t="str">
        <f t="shared" si="0"/>
        <v>Feb</v>
      </c>
      <c r="D29" t="s">
        <v>25</v>
      </c>
      <c r="E29" t="s">
        <v>9</v>
      </c>
      <c r="F29" t="s">
        <v>27</v>
      </c>
      <c r="G29" t="str">
        <f t="shared" si="1"/>
        <v>Variable</v>
      </c>
      <c r="H29" s="12">
        <v>18071</v>
      </c>
      <c r="I29" t="s">
        <v>16</v>
      </c>
      <c r="J29" t="s">
        <v>12</v>
      </c>
      <c r="K29">
        <f t="shared" si="2"/>
        <v>1</v>
      </c>
    </row>
    <row r="30" spans="1:11" x14ac:dyDescent="0.25">
      <c r="A30">
        <v>5180</v>
      </c>
      <c r="B30" s="10">
        <v>45722</v>
      </c>
      <c r="C30" s="10" t="str">
        <f t="shared" si="0"/>
        <v>Mar</v>
      </c>
      <c r="D30" t="s">
        <v>13</v>
      </c>
      <c r="E30" t="s">
        <v>22</v>
      </c>
      <c r="F30" t="s">
        <v>15</v>
      </c>
      <c r="G30" t="str">
        <f t="shared" si="1"/>
        <v>Variable</v>
      </c>
      <c r="H30" s="12">
        <v>18058</v>
      </c>
      <c r="I30" t="s">
        <v>19</v>
      </c>
      <c r="J30" t="s">
        <v>17</v>
      </c>
      <c r="K30">
        <f t="shared" si="2"/>
        <v>0</v>
      </c>
    </row>
    <row r="31" spans="1:11" x14ac:dyDescent="0.25">
      <c r="A31">
        <v>5115</v>
      </c>
      <c r="B31" s="10">
        <v>45689</v>
      </c>
      <c r="C31" s="10" t="str">
        <f t="shared" si="0"/>
        <v>Feb</v>
      </c>
      <c r="D31" t="s">
        <v>13</v>
      </c>
      <c r="E31" t="s">
        <v>20</v>
      </c>
      <c r="F31" t="s">
        <v>27</v>
      </c>
      <c r="G31" t="str">
        <f t="shared" si="1"/>
        <v>Variable</v>
      </c>
      <c r="H31" s="12">
        <v>17936</v>
      </c>
      <c r="I31" t="s">
        <v>19</v>
      </c>
      <c r="J31" t="s">
        <v>12</v>
      </c>
      <c r="K31">
        <f t="shared" si="2"/>
        <v>1</v>
      </c>
    </row>
    <row r="32" spans="1:11" x14ac:dyDescent="0.25">
      <c r="A32">
        <v>5274</v>
      </c>
      <c r="B32" s="10">
        <v>45704</v>
      </c>
      <c r="C32" s="10" t="str">
        <f t="shared" si="0"/>
        <v>Feb</v>
      </c>
      <c r="D32" t="s">
        <v>21</v>
      </c>
      <c r="E32" t="s">
        <v>14</v>
      </c>
      <c r="F32" t="s">
        <v>10</v>
      </c>
      <c r="G32" t="str">
        <f t="shared" si="1"/>
        <v>Fixed</v>
      </c>
      <c r="H32" s="12">
        <v>17917</v>
      </c>
      <c r="I32" t="s">
        <v>19</v>
      </c>
      <c r="J32" t="s">
        <v>17</v>
      </c>
      <c r="K32">
        <f t="shared" si="2"/>
        <v>0</v>
      </c>
    </row>
    <row r="33" spans="1:11" x14ac:dyDescent="0.25">
      <c r="A33">
        <v>5065</v>
      </c>
      <c r="B33" s="10">
        <v>45739</v>
      </c>
      <c r="C33" s="10" t="str">
        <f t="shared" si="0"/>
        <v>Mar</v>
      </c>
      <c r="D33" t="s">
        <v>8</v>
      </c>
      <c r="E33" t="s">
        <v>14</v>
      </c>
      <c r="F33" t="s">
        <v>18</v>
      </c>
      <c r="G33" t="str">
        <f t="shared" si="1"/>
        <v>Variable</v>
      </c>
      <c r="H33" s="12">
        <v>17773</v>
      </c>
      <c r="I33" t="s">
        <v>11</v>
      </c>
      <c r="J33" t="s">
        <v>12</v>
      </c>
      <c r="K33">
        <f t="shared" si="2"/>
        <v>1</v>
      </c>
    </row>
    <row r="34" spans="1:11" x14ac:dyDescent="0.25">
      <c r="A34">
        <v>5109</v>
      </c>
      <c r="B34" s="10">
        <v>45721</v>
      </c>
      <c r="C34" s="10" t="str">
        <f t="shared" si="0"/>
        <v>Mar</v>
      </c>
      <c r="D34" t="s">
        <v>13</v>
      </c>
      <c r="E34" t="s">
        <v>20</v>
      </c>
      <c r="F34" t="s">
        <v>18</v>
      </c>
      <c r="G34" t="str">
        <f t="shared" si="1"/>
        <v>Variable</v>
      </c>
      <c r="H34" s="12">
        <v>17727</v>
      </c>
      <c r="I34" t="s">
        <v>16</v>
      </c>
      <c r="J34" t="s">
        <v>12</v>
      </c>
      <c r="K34">
        <f t="shared" si="2"/>
        <v>1</v>
      </c>
    </row>
    <row r="35" spans="1:11" x14ac:dyDescent="0.25">
      <c r="A35">
        <v>5120</v>
      </c>
      <c r="B35" s="10">
        <v>45699</v>
      </c>
      <c r="C35" s="10" t="str">
        <f t="shared" si="0"/>
        <v>Feb</v>
      </c>
      <c r="D35" t="s">
        <v>21</v>
      </c>
      <c r="E35" t="s">
        <v>20</v>
      </c>
      <c r="F35" t="s">
        <v>26</v>
      </c>
      <c r="G35" t="str">
        <f t="shared" si="1"/>
        <v>Variable</v>
      </c>
      <c r="H35" s="12">
        <v>17716</v>
      </c>
      <c r="I35" t="s">
        <v>16</v>
      </c>
      <c r="J35" t="s">
        <v>12</v>
      </c>
      <c r="K35">
        <f t="shared" si="2"/>
        <v>1</v>
      </c>
    </row>
    <row r="36" spans="1:11" x14ac:dyDescent="0.25">
      <c r="A36">
        <v>5225</v>
      </c>
      <c r="B36" s="10">
        <v>45708</v>
      </c>
      <c r="C36" s="10" t="str">
        <f t="shared" si="0"/>
        <v>Feb</v>
      </c>
      <c r="D36" t="s">
        <v>8</v>
      </c>
      <c r="E36" t="s">
        <v>20</v>
      </c>
      <c r="F36" t="s">
        <v>10</v>
      </c>
      <c r="G36" t="str">
        <f t="shared" si="1"/>
        <v>Fixed</v>
      </c>
      <c r="H36" s="12">
        <v>17698</v>
      </c>
      <c r="I36" t="s">
        <v>19</v>
      </c>
      <c r="J36" t="s">
        <v>12</v>
      </c>
      <c r="K36">
        <f t="shared" si="2"/>
        <v>1</v>
      </c>
    </row>
    <row r="37" spans="1:11" x14ac:dyDescent="0.25">
      <c r="A37">
        <v>5039</v>
      </c>
      <c r="B37" s="10">
        <v>45696</v>
      </c>
      <c r="C37" s="10" t="str">
        <f t="shared" si="0"/>
        <v>Feb</v>
      </c>
      <c r="D37" t="s">
        <v>13</v>
      </c>
      <c r="E37" t="s">
        <v>9</v>
      </c>
      <c r="F37" t="s">
        <v>24</v>
      </c>
      <c r="G37" t="str">
        <f t="shared" si="1"/>
        <v>Variable</v>
      </c>
      <c r="H37" s="12">
        <v>17532</v>
      </c>
      <c r="I37" t="s">
        <v>16</v>
      </c>
      <c r="J37" t="s">
        <v>12</v>
      </c>
      <c r="K37">
        <f t="shared" si="2"/>
        <v>1</v>
      </c>
    </row>
    <row r="38" spans="1:11" x14ac:dyDescent="0.25">
      <c r="A38">
        <v>5086</v>
      </c>
      <c r="B38" s="10">
        <v>45772</v>
      </c>
      <c r="C38" s="10" t="str">
        <f t="shared" si="0"/>
        <v>Apr</v>
      </c>
      <c r="D38" t="s">
        <v>21</v>
      </c>
      <c r="E38" t="s">
        <v>22</v>
      </c>
      <c r="F38" t="s">
        <v>27</v>
      </c>
      <c r="G38" t="str">
        <f t="shared" si="1"/>
        <v>Variable</v>
      </c>
      <c r="H38" s="12">
        <v>17493</v>
      </c>
      <c r="I38" t="s">
        <v>19</v>
      </c>
      <c r="J38" t="s">
        <v>12</v>
      </c>
      <c r="K38">
        <f t="shared" si="2"/>
        <v>1</v>
      </c>
    </row>
    <row r="39" spans="1:11" x14ac:dyDescent="0.25">
      <c r="A39">
        <v>5119</v>
      </c>
      <c r="B39" s="10">
        <v>45735</v>
      </c>
      <c r="C39" s="10" t="str">
        <f t="shared" si="0"/>
        <v>Mar</v>
      </c>
      <c r="D39" t="s">
        <v>21</v>
      </c>
      <c r="E39" t="s">
        <v>22</v>
      </c>
      <c r="F39" t="s">
        <v>24</v>
      </c>
      <c r="G39" t="str">
        <f t="shared" si="1"/>
        <v>Variable</v>
      </c>
      <c r="H39" s="12">
        <v>17475</v>
      </c>
      <c r="I39" t="s">
        <v>19</v>
      </c>
      <c r="J39" t="s">
        <v>17</v>
      </c>
      <c r="K39">
        <f t="shared" si="2"/>
        <v>0</v>
      </c>
    </row>
    <row r="40" spans="1:11" x14ac:dyDescent="0.25">
      <c r="A40">
        <v>5011</v>
      </c>
      <c r="B40" s="10">
        <v>45687</v>
      </c>
      <c r="C40" s="10" t="str">
        <f t="shared" si="0"/>
        <v>Jan</v>
      </c>
      <c r="D40" t="s">
        <v>13</v>
      </c>
      <c r="E40" t="s">
        <v>22</v>
      </c>
      <c r="F40" t="s">
        <v>18</v>
      </c>
      <c r="G40" t="str">
        <f t="shared" si="1"/>
        <v>Variable</v>
      </c>
      <c r="H40" s="12">
        <v>17446</v>
      </c>
      <c r="I40" t="s">
        <v>16</v>
      </c>
      <c r="J40" t="s">
        <v>12</v>
      </c>
      <c r="K40">
        <f t="shared" si="2"/>
        <v>1</v>
      </c>
    </row>
    <row r="41" spans="1:11" x14ac:dyDescent="0.25">
      <c r="A41">
        <v>5020</v>
      </c>
      <c r="B41" s="10">
        <v>45730</v>
      </c>
      <c r="C41" s="10" t="str">
        <f t="shared" si="0"/>
        <v>Mar</v>
      </c>
      <c r="D41" t="s">
        <v>8</v>
      </c>
      <c r="E41" t="s">
        <v>20</v>
      </c>
      <c r="F41" t="s">
        <v>24</v>
      </c>
      <c r="G41" t="str">
        <f t="shared" si="1"/>
        <v>Variable</v>
      </c>
      <c r="H41" s="12">
        <v>17426</v>
      </c>
      <c r="I41" t="s">
        <v>16</v>
      </c>
      <c r="J41" t="s">
        <v>17</v>
      </c>
      <c r="K41">
        <f t="shared" si="2"/>
        <v>0</v>
      </c>
    </row>
    <row r="42" spans="1:11" x14ac:dyDescent="0.25">
      <c r="A42">
        <v>5088</v>
      </c>
      <c r="B42" s="10">
        <v>45668</v>
      </c>
      <c r="C42" s="10" t="str">
        <f t="shared" si="0"/>
        <v>Jan</v>
      </c>
      <c r="D42" t="s">
        <v>8</v>
      </c>
      <c r="E42" t="s">
        <v>14</v>
      </c>
      <c r="F42" t="s">
        <v>26</v>
      </c>
      <c r="G42" t="str">
        <f t="shared" si="1"/>
        <v>Variable</v>
      </c>
      <c r="H42" s="12">
        <v>17067</v>
      </c>
      <c r="I42" t="s">
        <v>19</v>
      </c>
      <c r="J42" t="s">
        <v>12</v>
      </c>
      <c r="K42">
        <f t="shared" si="2"/>
        <v>1</v>
      </c>
    </row>
    <row r="43" spans="1:11" x14ac:dyDescent="0.25">
      <c r="A43">
        <v>5070</v>
      </c>
      <c r="B43" s="10">
        <v>45763</v>
      </c>
      <c r="C43" s="10" t="str">
        <f t="shared" si="0"/>
        <v>Apr</v>
      </c>
      <c r="D43" t="s">
        <v>13</v>
      </c>
      <c r="E43" t="s">
        <v>14</v>
      </c>
      <c r="F43" t="s">
        <v>15</v>
      </c>
      <c r="G43" t="str">
        <f t="shared" si="1"/>
        <v>Variable</v>
      </c>
      <c r="H43" s="12">
        <v>17036</v>
      </c>
      <c r="I43" t="s">
        <v>19</v>
      </c>
      <c r="J43" t="s">
        <v>12</v>
      </c>
      <c r="K43">
        <f t="shared" si="2"/>
        <v>1</v>
      </c>
    </row>
    <row r="44" spans="1:11" x14ac:dyDescent="0.25">
      <c r="A44">
        <v>5157</v>
      </c>
      <c r="B44" s="10">
        <v>45672</v>
      </c>
      <c r="C44" s="10" t="str">
        <f t="shared" si="0"/>
        <v>Jan</v>
      </c>
      <c r="D44" t="s">
        <v>21</v>
      </c>
      <c r="E44" t="s">
        <v>22</v>
      </c>
      <c r="F44" t="s">
        <v>24</v>
      </c>
      <c r="G44" t="str">
        <f t="shared" si="1"/>
        <v>Variable</v>
      </c>
      <c r="H44" s="12">
        <v>17027</v>
      </c>
      <c r="I44" t="s">
        <v>19</v>
      </c>
      <c r="J44" t="s">
        <v>12</v>
      </c>
      <c r="K44">
        <f t="shared" si="2"/>
        <v>1</v>
      </c>
    </row>
    <row r="45" spans="1:11" x14ac:dyDescent="0.25">
      <c r="A45">
        <v>5192</v>
      </c>
      <c r="B45" s="10">
        <v>45764</v>
      </c>
      <c r="C45" s="10" t="str">
        <f t="shared" si="0"/>
        <v>Apr</v>
      </c>
      <c r="D45" t="s">
        <v>8</v>
      </c>
      <c r="E45" t="s">
        <v>14</v>
      </c>
      <c r="F45" t="s">
        <v>26</v>
      </c>
      <c r="G45" t="str">
        <f t="shared" si="1"/>
        <v>Variable</v>
      </c>
      <c r="H45" s="12">
        <v>16989</v>
      </c>
      <c r="I45" t="s">
        <v>19</v>
      </c>
      <c r="J45" t="s">
        <v>17</v>
      </c>
      <c r="K45">
        <f t="shared" si="2"/>
        <v>0</v>
      </c>
    </row>
    <row r="46" spans="1:11" x14ac:dyDescent="0.25">
      <c r="A46">
        <v>5062</v>
      </c>
      <c r="B46" s="10">
        <v>45740</v>
      </c>
      <c r="C46" s="10" t="str">
        <f t="shared" si="0"/>
        <v>Mar</v>
      </c>
      <c r="D46" t="s">
        <v>13</v>
      </c>
      <c r="E46" t="s">
        <v>9</v>
      </c>
      <c r="F46" t="s">
        <v>26</v>
      </c>
      <c r="G46" t="str">
        <f t="shared" si="1"/>
        <v>Variable</v>
      </c>
      <c r="H46" s="12">
        <v>16980</v>
      </c>
      <c r="I46" t="s">
        <v>11</v>
      </c>
      <c r="J46" t="s">
        <v>12</v>
      </c>
      <c r="K46">
        <f t="shared" si="2"/>
        <v>1</v>
      </c>
    </row>
    <row r="47" spans="1:11" x14ac:dyDescent="0.25">
      <c r="A47">
        <v>5050</v>
      </c>
      <c r="B47" s="10">
        <v>45658</v>
      </c>
      <c r="C47" s="10" t="str">
        <f t="shared" si="0"/>
        <v>Jan</v>
      </c>
      <c r="D47" t="s">
        <v>21</v>
      </c>
      <c r="E47" t="s">
        <v>14</v>
      </c>
      <c r="F47" t="s">
        <v>26</v>
      </c>
      <c r="G47" t="str">
        <f t="shared" si="1"/>
        <v>Variable</v>
      </c>
      <c r="H47" s="12">
        <v>16876</v>
      </c>
      <c r="I47" t="s">
        <v>19</v>
      </c>
      <c r="J47" t="s">
        <v>17</v>
      </c>
      <c r="K47">
        <f t="shared" si="2"/>
        <v>0</v>
      </c>
    </row>
    <row r="48" spans="1:11" x14ac:dyDescent="0.25">
      <c r="A48">
        <v>5079</v>
      </c>
      <c r="B48" s="10">
        <v>45729</v>
      </c>
      <c r="C48" s="10" t="str">
        <f t="shared" si="0"/>
        <v>Mar</v>
      </c>
      <c r="D48" t="s">
        <v>13</v>
      </c>
      <c r="E48" t="s">
        <v>14</v>
      </c>
      <c r="F48" t="s">
        <v>15</v>
      </c>
      <c r="G48" t="str">
        <f t="shared" si="1"/>
        <v>Variable</v>
      </c>
      <c r="H48" s="12">
        <v>16859</v>
      </c>
      <c r="I48" t="s">
        <v>19</v>
      </c>
      <c r="J48" t="s">
        <v>17</v>
      </c>
      <c r="K48">
        <f t="shared" si="2"/>
        <v>0</v>
      </c>
    </row>
    <row r="49" spans="1:11" x14ac:dyDescent="0.25">
      <c r="A49">
        <v>5005</v>
      </c>
      <c r="B49" s="10">
        <v>45659</v>
      </c>
      <c r="C49" s="10" t="str">
        <f t="shared" si="0"/>
        <v>Jan</v>
      </c>
      <c r="D49" t="s">
        <v>23</v>
      </c>
      <c r="E49" t="s">
        <v>14</v>
      </c>
      <c r="F49" t="s">
        <v>24</v>
      </c>
      <c r="G49" t="str">
        <f t="shared" si="1"/>
        <v>Variable</v>
      </c>
      <c r="H49" s="12">
        <v>16832</v>
      </c>
      <c r="I49" t="s">
        <v>19</v>
      </c>
      <c r="J49" t="s">
        <v>12</v>
      </c>
      <c r="K49">
        <f t="shared" si="2"/>
        <v>1</v>
      </c>
    </row>
    <row r="50" spans="1:11" x14ac:dyDescent="0.25">
      <c r="A50">
        <v>5022</v>
      </c>
      <c r="B50" s="10">
        <v>45728</v>
      </c>
      <c r="C50" s="10" t="str">
        <f t="shared" si="0"/>
        <v>Mar</v>
      </c>
      <c r="D50" t="s">
        <v>23</v>
      </c>
      <c r="E50" t="s">
        <v>22</v>
      </c>
      <c r="F50" t="s">
        <v>18</v>
      </c>
      <c r="G50" t="str">
        <f t="shared" si="1"/>
        <v>Variable</v>
      </c>
      <c r="H50" s="12">
        <v>16777</v>
      </c>
      <c r="I50" t="s">
        <v>11</v>
      </c>
      <c r="J50" t="s">
        <v>12</v>
      </c>
      <c r="K50">
        <f t="shared" si="2"/>
        <v>1</v>
      </c>
    </row>
    <row r="51" spans="1:11" x14ac:dyDescent="0.25">
      <c r="A51">
        <v>5064</v>
      </c>
      <c r="B51" s="10">
        <v>45681</v>
      </c>
      <c r="C51" s="10" t="str">
        <f t="shared" si="0"/>
        <v>Jan</v>
      </c>
      <c r="D51" t="s">
        <v>21</v>
      </c>
      <c r="E51" t="s">
        <v>22</v>
      </c>
      <c r="F51" t="s">
        <v>27</v>
      </c>
      <c r="G51" t="str">
        <f t="shared" si="1"/>
        <v>Variable</v>
      </c>
      <c r="H51" s="12">
        <v>16752</v>
      </c>
      <c r="I51" t="s">
        <v>19</v>
      </c>
      <c r="J51" t="s">
        <v>12</v>
      </c>
      <c r="K51">
        <f t="shared" si="2"/>
        <v>1</v>
      </c>
    </row>
    <row r="52" spans="1:11" x14ac:dyDescent="0.25">
      <c r="A52">
        <v>5134</v>
      </c>
      <c r="B52" s="10">
        <v>45737</v>
      </c>
      <c r="C52" s="10" t="str">
        <f t="shared" si="0"/>
        <v>Mar</v>
      </c>
      <c r="D52" t="s">
        <v>8</v>
      </c>
      <c r="E52" t="s">
        <v>14</v>
      </c>
      <c r="F52" t="s">
        <v>24</v>
      </c>
      <c r="G52" t="str">
        <f t="shared" si="1"/>
        <v>Variable</v>
      </c>
      <c r="H52" s="12">
        <v>16741</v>
      </c>
      <c r="I52" t="s">
        <v>16</v>
      </c>
      <c r="J52" t="s">
        <v>17</v>
      </c>
      <c r="K52">
        <f t="shared" si="2"/>
        <v>0</v>
      </c>
    </row>
    <row r="53" spans="1:11" x14ac:dyDescent="0.25">
      <c r="A53">
        <v>5236</v>
      </c>
      <c r="B53" s="10">
        <v>45733</v>
      </c>
      <c r="C53" s="10" t="str">
        <f t="shared" si="0"/>
        <v>Mar</v>
      </c>
      <c r="D53" t="s">
        <v>13</v>
      </c>
      <c r="E53" t="s">
        <v>9</v>
      </c>
      <c r="F53" t="s">
        <v>26</v>
      </c>
      <c r="G53" t="str">
        <f t="shared" si="1"/>
        <v>Variable</v>
      </c>
      <c r="H53" s="12">
        <v>16709</v>
      </c>
      <c r="I53" t="s">
        <v>11</v>
      </c>
      <c r="J53" t="s">
        <v>17</v>
      </c>
      <c r="K53">
        <f t="shared" si="2"/>
        <v>0</v>
      </c>
    </row>
    <row r="54" spans="1:11" x14ac:dyDescent="0.25">
      <c r="A54">
        <v>5106</v>
      </c>
      <c r="B54" s="10">
        <v>45764</v>
      </c>
      <c r="C54" s="10" t="str">
        <f t="shared" si="0"/>
        <v>Apr</v>
      </c>
      <c r="D54" t="s">
        <v>13</v>
      </c>
      <c r="E54" t="s">
        <v>22</v>
      </c>
      <c r="F54" t="s">
        <v>24</v>
      </c>
      <c r="G54" t="str">
        <f t="shared" si="1"/>
        <v>Variable</v>
      </c>
      <c r="H54" s="12">
        <v>16417</v>
      </c>
      <c r="I54" t="s">
        <v>11</v>
      </c>
      <c r="J54" t="s">
        <v>17</v>
      </c>
      <c r="K54">
        <f t="shared" si="2"/>
        <v>0</v>
      </c>
    </row>
    <row r="55" spans="1:11" x14ac:dyDescent="0.25">
      <c r="A55">
        <v>5259</v>
      </c>
      <c r="B55" s="10">
        <v>45737</v>
      </c>
      <c r="C55" s="10" t="str">
        <f t="shared" si="0"/>
        <v>Mar</v>
      </c>
      <c r="D55" t="s">
        <v>23</v>
      </c>
      <c r="E55" t="s">
        <v>22</v>
      </c>
      <c r="F55" t="s">
        <v>10</v>
      </c>
      <c r="G55" t="str">
        <f t="shared" si="1"/>
        <v>Fixed</v>
      </c>
      <c r="H55" s="12">
        <v>16393</v>
      </c>
      <c r="I55" t="s">
        <v>16</v>
      </c>
      <c r="J55" t="s">
        <v>12</v>
      </c>
      <c r="K55">
        <f t="shared" si="2"/>
        <v>1</v>
      </c>
    </row>
    <row r="56" spans="1:11" x14ac:dyDescent="0.25">
      <c r="A56">
        <v>5265</v>
      </c>
      <c r="B56" s="10">
        <v>45739</v>
      </c>
      <c r="C56" s="10" t="str">
        <f t="shared" si="0"/>
        <v>Mar</v>
      </c>
      <c r="D56" t="s">
        <v>23</v>
      </c>
      <c r="E56" t="s">
        <v>20</v>
      </c>
      <c r="F56" t="s">
        <v>26</v>
      </c>
      <c r="G56" t="str">
        <f t="shared" si="1"/>
        <v>Variable</v>
      </c>
      <c r="H56" s="12">
        <v>16370</v>
      </c>
      <c r="I56" t="s">
        <v>19</v>
      </c>
      <c r="J56" t="s">
        <v>12</v>
      </c>
      <c r="K56">
        <f t="shared" si="2"/>
        <v>1</v>
      </c>
    </row>
    <row r="57" spans="1:11" x14ac:dyDescent="0.25">
      <c r="A57">
        <v>5156</v>
      </c>
      <c r="B57" s="10">
        <v>45729</v>
      </c>
      <c r="C57" s="10" t="str">
        <f t="shared" si="0"/>
        <v>Mar</v>
      </c>
      <c r="D57" t="s">
        <v>13</v>
      </c>
      <c r="E57" t="s">
        <v>9</v>
      </c>
      <c r="F57" t="s">
        <v>10</v>
      </c>
      <c r="G57" t="str">
        <f t="shared" si="1"/>
        <v>Fixed</v>
      </c>
      <c r="H57" s="12">
        <v>16368</v>
      </c>
      <c r="I57" t="s">
        <v>11</v>
      </c>
      <c r="J57" t="s">
        <v>17</v>
      </c>
      <c r="K57">
        <f t="shared" si="2"/>
        <v>0</v>
      </c>
    </row>
    <row r="58" spans="1:11" x14ac:dyDescent="0.25">
      <c r="A58">
        <v>5066</v>
      </c>
      <c r="B58" s="10">
        <v>45682</v>
      </c>
      <c r="C58" s="10" t="str">
        <f t="shared" si="0"/>
        <v>Jan</v>
      </c>
      <c r="D58" t="s">
        <v>8</v>
      </c>
      <c r="E58" t="s">
        <v>9</v>
      </c>
      <c r="F58" t="s">
        <v>26</v>
      </c>
      <c r="G58" t="str">
        <f t="shared" si="1"/>
        <v>Variable</v>
      </c>
      <c r="H58" s="12">
        <v>16336</v>
      </c>
      <c r="I58" t="s">
        <v>16</v>
      </c>
      <c r="J58" t="s">
        <v>12</v>
      </c>
      <c r="K58">
        <f t="shared" si="2"/>
        <v>1</v>
      </c>
    </row>
    <row r="59" spans="1:11" x14ac:dyDescent="0.25">
      <c r="A59">
        <v>5255</v>
      </c>
      <c r="B59" s="10">
        <v>45718</v>
      </c>
      <c r="C59" s="10" t="str">
        <f t="shared" si="0"/>
        <v>Mar</v>
      </c>
      <c r="D59" t="s">
        <v>8</v>
      </c>
      <c r="E59" t="s">
        <v>20</v>
      </c>
      <c r="F59" t="s">
        <v>18</v>
      </c>
      <c r="G59" t="str">
        <f t="shared" si="1"/>
        <v>Variable</v>
      </c>
      <c r="H59" s="12">
        <v>16287</v>
      </c>
      <c r="I59" t="s">
        <v>11</v>
      </c>
      <c r="J59" t="s">
        <v>12</v>
      </c>
      <c r="K59">
        <f t="shared" si="2"/>
        <v>1</v>
      </c>
    </row>
    <row r="60" spans="1:11" x14ac:dyDescent="0.25">
      <c r="A60">
        <v>5185</v>
      </c>
      <c r="B60" s="10">
        <v>45671</v>
      </c>
      <c r="C60" s="10" t="str">
        <f t="shared" si="0"/>
        <v>Jan</v>
      </c>
      <c r="D60" t="s">
        <v>25</v>
      </c>
      <c r="E60" t="s">
        <v>22</v>
      </c>
      <c r="F60" t="s">
        <v>18</v>
      </c>
      <c r="G60" t="str">
        <f t="shared" si="1"/>
        <v>Variable</v>
      </c>
      <c r="H60" s="12">
        <v>16266</v>
      </c>
      <c r="I60" t="s">
        <v>19</v>
      </c>
      <c r="J60" t="s">
        <v>17</v>
      </c>
      <c r="K60">
        <f t="shared" si="2"/>
        <v>0</v>
      </c>
    </row>
    <row r="61" spans="1:11" x14ac:dyDescent="0.25">
      <c r="A61">
        <v>5068</v>
      </c>
      <c r="B61" s="10">
        <v>45670</v>
      </c>
      <c r="C61" s="10" t="str">
        <f t="shared" si="0"/>
        <v>Jan</v>
      </c>
      <c r="D61" t="s">
        <v>23</v>
      </c>
      <c r="E61" t="s">
        <v>9</v>
      </c>
      <c r="F61" t="s">
        <v>26</v>
      </c>
      <c r="G61" t="str">
        <f t="shared" si="1"/>
        <v>Variable</v>
      </c>
      <c r="H61" s="12">
        <v>16053</v>
      </c>
      <c r="I61" t="s">
        <v>19</v>
      </c>
      <c r="J61" t="s">
        <v>17</v>
      </c>
      <c r="K61">
        <f t="shared" si="2"/>
        <v>0</v>
      </c>
    </row>
    <row r="62" spans="1:11" x14ac:dyDescent="0.25">
      <c r="A62">
        <v>5137</v>
      </c>
      <c r="B62" s="10">
        <v>45756</v>
      </c>
      <c r="C62" s="10" t="str">
        <f t="shared" si="0"/>
        <v>Apr</v>
      </c>
      <c r="D62" t="s">
        <v>23</v>
      </c>
      <c r="E62" t="s">
        <v>14</v>
      </c>
      <c r="F62" t="s">
        <v>27</v>
      </c>
      <c r="G62" t="str">
        <f t="shared" si="1"/>
        <v>Variable</v>
      </c>
      <c r="H62" s="12">
        <v>16048</v>
      </c>
      <c r="I62" t="s">
        <v>11</v>
      </c>
      <c r="J62" t="s">
        <v>17</v>
      </c>
      <c r="K62">
        <f t="shared" si="2"/>
        <v>0</v>
      </c>
    </row>
    <row r="63" spans="1:11" x14ac:dyDescent="0.25">
      <c r="A63">
        <v>5272</v>
      </c>
      <c r="B63" s="10">
        <v>45691</v>
      </c>
      <c r="C63" s="10" t="str">
        <f t="shared" si="0"/>
        <v>Feb</v>
      </c>
      <c r="D63" t="s">
        <v>23</v>
      </c>
      <c r="E63" t="s">
        <v>22</v>
      </c>
      <c r="F63" t="s">
        <v>27</v>
      </c>
      <c r="G63" t="str">
        <f t="shared" si="1"/>
        <v>Variable</v>
      </c>
      <c r="H63" s="12">
        <v>15937</v>
      </c>
      <c r="I63" t="s">
        <v>11</v>
      </c>
      <c r="J63" t="s">
        <v>12</v>
      </c>
      <c r="K63">
        <f t="shared" si="2"/>
        <v>1</v>
      </c>
    </row>
    <row r="64" spans="1:11" x14ac:dyDescent="0.25">
      <c r="A64">
        <v>5117</v>
      </c>
      <c r="B64" s="10">
        <v>45767</v>
      </c>
      <c r="C64" s="10" t="str">
        <f t="shared" si="0"/>
        <v>Apr</v>
      </c>
      <c r="D64" t="s">
        <v>23</v>
      </c>
      <c r="E64" t="s">
        <v>20</v>
      </c>
      <c r="F64" t="s">
        <v>24</v>
      </c>
      <c r="G64" t="str">
        <f t="shared" si="1"/>
        <v>Variable</v>
      </c>
      <c r="H64" s="12">
        <v>15892</v>
      </c>
      <c r="I64" t="s">
        <v>19</v>
      </c>
      <c r="J64" t="s">
        <v>17</v>
      </c>
      <c r="K64">
        <f t="shared" si="2"/>
        <v>0</v>
      </c>
    </row>
    <row r="65" spans="1:11" x14ac:dyDescent="0.25">
      <c r="A65">
        <v>5155</v>
      </c>
      <c r="B65" s="10">
        <v>45712</v>
      </c>
      <c r="C65" s="10" t="str">
        <f t="shared" si="0"/>
        <v>Feb</v>
      </c>
      <c r="D65" t="s">
        <v>8</v>
      </c>
      <c r="E65" t="s">
        <v>22</v>
      </c>
      <c r="F65" t="s">
        <v>26</v>
      </c>
      <c r="G65" t="str">
        <f t="shared" si="1"/>
        <v>Variable</v>
      </c>
      <c r="H65" s="12">
        <v>15811</v>
      </c>
      <c r="I65" t="s">
        <v>11</v>
      </c>
      <c r="J65" t="s">
        <v>17</v>
      </c>
      <c r="K65">
        <f t="shared" si="2"/>
        <v>0</v>
      </c>
    </row>
    <row r="66" spans="1:11" x14ac:dyDescent="0.25">
      <c r="A66">
        <v>5107</v>
      </c>
      <c r="B66" s="10">
        <v>45725</v>
      </c>
      <c r="C66" s="10" t="str">
        <f t="shared" ref="C66:C129" si="3">TEXT(B66,"MMM")</f>
        <v>Mar</v>
      </c>
      <c r="D66" t="s">
        <v>13</v>
      </c>
      <c r="E66" t="s">
        <v>14</v>
      </c>
      <c r="F66" t="s">
        <v>18</v>
      </c>
      <c r="G66" t="str">
        <f t="shared" ref="G66:G129" si="4">IF(F66="Salaries","Fixed","Variable")</f>
        <v>Variable</v>
      </c>
      <c r="H66" s="12">
        <v>15810</v>
      </c>
      <c r="I66" t="s">
        <v>16</v>
      </c>
      <c r="J66" t="s">
        <v>12</v>
      </c>
      <c r="K66">
        <f t="shared" ref="K66:K129" si="5">IF(J66="Yes",1,0)</f>
        <v>1</v>
      </c>
    </row>
    <row r="67" spans="1:11" x14ac:dyDescent="0.25">
      <c r="A67">
        <v>5258</v>
      </c>
      <c r="B67" s="10">
        <v>45682</v>
      </c>
      <c r="C67" s="10" t="str">
        <f t="shared" si="3"/>
        <v>Jan</v>
      </c>
      <c r="D67" t="s">
        <v>23</v>
      </c>
      <c r="E67" t="s">
        <v>22</v>
      </c>
      <c r="F67" t="s">
        <v>15</v>
      </c>
      <c r="G67" t="str">
        <f t="shared" si="4"/>
        <v>Variable</v>
      </c>
      <c r="H67" s="12">
        <v>15794</v>
      </c>
      <c r="I67" t="s">
        <v>19</v>
      </c>
      <c r="J67" t="s">
        <v>17</v>
      </c>
      <c r="K67">
        <f t="shared" si="5"/>
        <v>0</v>
      </c>
    </row>
    <row r="68" spans="1:11" x14ac:dyDescent="0.25">
      <c r="A68">
        <v>5037</v>
      </c>
      <c r="B68" s="10">
        <v>45685</v>
      </c>
      <c r="C68" s="10" t="str">
        <f t="shared" si="3"/>
        <v>Jan</v>
      </c>
      <c r="D68" t="s">
        <v>21</v>
      </c>
      <c r="E68" t="s">
        <v>20</v>
      </c>
      <c r="F68" t="s">
        <v>18</v>
      </c>
      <c r="G68" t="str">
        <f t="shared" si="4"/>
        <v>Variable</v>
      </c>
      <c r="H68" s="12">
        <v>15769</v>
      </c>
      <c r="I68" t="s">
        <v>11</v>
      </c>
      <c r="J68" t="s">
        <v>17</v>
      </c>
      <c r="K68">
        <f t="shared" si="5"/>
        <v>0</v>
      </c>
    </row>
    <row r="69" spans="1:11" x14ac:dyDescent="0.25">
      <c r="A69">
        <v>5096</v>
      </c>
      <c r="B69" s="10">
        <v>45717</v>
      </c>
      <c r="C69" s="10" t="str">
        <f t="shared" si="3"/>
        <v>Mar</v>
      </c>
      <c r="D69" t="s">
        <v>21</v>
      </c>
      <c r="E69" t="s">
        <v>9</v>
      </c>
      <c r="F69" t="s">
        <v>18</v>
      </c>
      <c r="G69" t="str">
        <f t="shared" si="4"/>
        <v>Variable</v>
      </c>
      <c r="H69" s="12">
        <v>15747</v>
      </c>
      <c r="I69" t="s">
        <v>16</v>
      </c>
      <c r="J69" t="s">
        <v>12</v>
      </c>
      <c r="K69">
        <f t="shared" si="5"/>
        <v>1</v>
      </c>
    </row>
    <row r="70" spans="1:11" x14ac:dyDescent="0.25">
      <c r="A70">
        <v>5179</v>
      </c>
      <c r="B70" s="10">
        <v>45688</v>
      </c>
      <c r="C70" s="10" t="str">
        <f t="shared" si="3"/>
        <v>Jan</v>
      </c>
      <c r="D70" t="s">
        <v>8</v>
      </c>
      <c r="E70" t="s">
        <v>14</v>
      </c>
      <c r="F70" t="s">
        <v>27</v>
      </c>
      <c r="G70" t="str">
        <f t="shared" si="4"/>
        <v>Variable</v>
      </c>
      <c r="H70" s="12">
        <v>15707</v>
      </c>
      <c r="I70" t="s">
        <v>19</v>
      </c>
      <c r="J70" t="s">
        <v>17</v>
      </c>
      <c r="K70">
        <f t="shared" si="5"/>
        <v>0</v>
      </c>
    </row>
    <row r="71" spans="1:11" x14ac:dyDescent="0.25">
      <c r="A71">
        <v>5190</v>
      </c>
      <c r="B71" s="10">
        <v>45751</v>
      </c>
      <c r="C71" s="10" t="str">
        <f t="shared" si="3"/>
        <v>Apr</v>
      </c>
      <c r="D71" t="s">
        <v>13</v>
      </c>
      <c r="E71" t="s">
        <v>9</v>
      </c>
      <c r="F71" t="s">
        <v>24</v>
      </c>
      <c r="G71" t="str">
        <f t="shared" si="4"/>
        <v>Variable</v>
      </c>
      <c r="H71" s="12">
        <v>15592</v>
      </c>
      <c r="I71" t="s">
        <v>16</v>
      </c>
      <c r="J71" t="s">
        <v>12</v>
      </c>
      <c r="K71">
        <f t="shared" si="5"/>
        <v>1</v>
      </c>
    </row>
    <row r="72" spans="1:11" x14ac:dyDescent="0.25">
      <c r="A72">
        <v>5114</v>
      </c>
      <c r="B72" s="10">
        <v>45686</v>
      </c>
      <c r="C72" s="10" t="str">
        <f t="shared" si="3"/>
        <v>Jan</v>
      </c>
      <c r="D72" t="s">
        <v>8</v>
      </c>
      <c r="E72" t="s">
        <v>22</v>
      </c>
      <c r="F72" t="s">
        <v>18</v>
      </c>
      <c r="G72" t="str">
        <f t="shared" si="4"/>
        <v>Variable</v>
      </c>
      <c r="H72" s="12">
        <v>15558</v>
      </c>
      <c r="I72" t="s">
        <v>19</v>
      </c>
      <c r="J72" t="s">
        <v>12</v>
      </c>
      <c r="K72">
        <f t="shared" si="5"/>
        <v>1</v>
      </c>
    </row>
    <row r="73" spans="1:11" x14ac:dyDescent="0.25">
      <c r="A73">
        <v>5078</v>
      </c>
      <c r="B73" s="10">
        <v>45728</v>
      </c>
      <c r="C73" s="10" t="str">
        <f t="shared" si="3"/>
        <v>Mar</v>
      </c>
      <c r="D73" t="s">
        <v>25</v>
      </c>
      <c r="E73" t="s">
        <v>22</v>
      </c>
      <c r="F73" t="s">
        <v>27</v>
      </c>
      <c r="G73" t="str">
        <f t="shared" si="4"/>
        <v>Variable</v>
      </c>
      <c r="H73" s="12">
        <v>15542</v>
      </c>
      <c r="I73" t="s">
        <v>16</v>
      </c>
      <c r="J73" t="s">
        <v>12</v>
      </c>
      <c r="K73">
        <f t="shared" si="5"/>
        <v>1</v>
      </c>
    </row>
    <row r="74" spans="1:11" x14ac:dyDescent="0.25">
      <c r="A74">
        <v>5076</v>
      </c>
      <c r="B74" s="10">
        <v>45754</v>
      </c>
      <c r="C74" s="10" t="str">
        <f t="shared" si="3"/>
        <v>Apr</v>
      </c>
      <c r="D74" t="s">
        <v>13</v>
      </c>
      <c r="E74" t="s">
        <v>9</v>
      </c>
      <c r="F74" t="s">
        <v>15</v>
      </c>
      <c r="G74" t="str">
        <f t="shared" si="4"/>
        <v>Variable</v>
      </c>
      <c r="H74" s="12">
        <v>15325</v>
      </c>
      <c r="I74" t="s">
        <v>11</v>
      </c>
      <c r="J74" t="s">
        <v>12</v>
      </c>
      <c r="K74">
        <f t="shared" si="5"/>
        <v>1</v>
      </c>
    </row>
    <row r="75" spans="1:11" x14ac:dyDescent="0.25">
      <c r="A75">
        <v>5162</v>
      </c>
      <c r="B75" s="10">
        <v>45680</v>
      </c>
      <c r="C75" s="10" t="str">
        <f t="shared" si="3"/>
        <v>Jan</v>
      </c>
      <c r="D75" t="s">
        <v>25</v>
      </c>
      <c r="E75" t="s">
        <v>20</v>
      </c>
      <c r="F75" t="s">
        <v>24</v>
      </c>
      <c r="G75" t="str">
        <f t="shared" si="4"/>
        <v>Variable</v>
      </c>
      <c r="H75" s="12">
        <v>15311</v>
      </c>
      <c r="I75" t="s">
        <v>11</v>
      </c>
      <c r="J75" t="s">
        <v>12</v>
      </c>
      <c r="K75">
        <f t="shared" si="5"/>
        <v>1</v>
      </c>
    </row>
    <row r="76" spans="1:11" x14ac:dyDescent="0.25">
      <c r="A76">
        <v>5289</v>
      </c>
      <c r="B76" s="10">
        <v>45761</v>
      </c>
      <c r="C76" s="10" t="str">
        <f t="shared" si="3"/>
        <v>Apr</v>
      </c>
      <c r="D76" t="s">
        <v>25</v>
      </c>
      <c r="E76" t="s">
        <v>22</v>
      </c>
      <c r="F76" t="s">
        <v>18</v>
      </c>
      <c r="G76" t="str">
        <f t="shared" si="4"/>
        <v>Variable</v>
      </c>
      <c r="H76" s="12">
        <v>15182</v>
      </c>
      <c r="I76" t="s">
        <v>16</v>
      </c>
      <c r="J76" t="s">
        <v>17</v>
      </c>
      <c r="K76">
        <f t="shared" si="5"/>
        <v>0</v>
      </c>
    </row>
    <row r="77" spans="1:11" x14ac:dyDescent="0.25">
      <c r="A77">
        <v>5235</v>
      </c>
      <c r="B77" s="10">
        <v>45686</v>
      </c>
      <c r="C77" s="10" t="str">
        <f t="shared" si="3"/>
        <v>Jan</v>
      </c>
      <c r="D77" t="s">
        <v>23</v>
      </c>
      <c r="E77" t="s">
        <v>14</v>
      </c>
      <c r="F77" t="s">
        <v>10</v>
      </c>
      <c r="G77" t="str">
        <f t="shared" si="4"/>
        <v>Fixed</v>
      </c>
      <c r="H77" s="12">
        <v>14813</v>
      </c>
      <c r="I77" t="s">
        <v>16</v>
      </c>
      <c r="J77" t="s">
        <v>12</v>
      </c>
      <c r="K77">
        <f t="shared" si="5"/>
        <v>1</v>
      </c>
    </row>
    <row r="78" spans="1:11" x14ac:dyDescent="0.25">
      <c r="A78">
        <v>5074</v>
      </c>
      <c r="B78" s="10">
        <v>45761</v>
      </c>
      <c r="C78" s="10" t="str">
        <f t="shared" si="3"/>
        <v>Apr</v>
      </c>
      <c r="D78" t="s">
        <v>21</v>
      </c>
      <c r="E78" t="s">
        <v>9</v>
      </c>
      <c r="F78" t="s">
        <v>18</v>
      </c>
      <c r="G78" t="str">
        <f t="shared" si="4"/>
        <v>Variable</v>
      </c>
      <c r="H78" s="12">
        <v>14678</v>
      </c>
      <c r="I78" t="s">
        <v>19</v>
      </c>
      <c r="J78" t="s">
        <v>17</v>
      </c>
      <c r="K78">
        <f t="shared" si="5"/>
        <v>0</v>
      </c>
    </row>
    <row r="79" spans="1:11" x14ac:dyDescent="0.25">
      <c r="A79">
        <v>5140</v>
      </c>
      <c r="B79" s="10">
        <v>45739</v>
      </c>
      <c r="C79" s="10" t="str">
        <f t="shared" si="3"/>
        <v>Mar</v>
      </c>
      <c r="D79" t="s">
        <v>13</v>
      </c>
      <c r="E79" t="s">
        <v>20</v>
      </c>
      <c r="F79" t="s">
        <v>18</v>
      </c>
      <c r="G79" t="str">
        <f t="shared" si="4"/>
        <v>Variable</v>
      </c>
      <c r="H79" s="12">
        <v>14618</v>
      </c>
      <c r="I79" t="s">
        <v>19</v>
      </c>
      <c r="J79" t="s">
        <v>12</v>
      </c>
      <c r="K79">
        <f t="shared" si="5"/>
        <v>1</v>
      </c>
    </row>
    <row r="80" spans="1:11" x14ac:dyDescent="0.25">
      <c r="A80">
        <v>5034</v>
      </c>
      <c r="B80" s="10">
        <v>45680</v>
      </c>
      <c r="C80" s="10" t="str">
        <f t="shared" si="3"/>
        <v>Jan</v>
      </c>
      <c r="D80" t="s">
        <v>25</v>
      </c>
      <c r="E80" t="s">
        <v>9</v>
      </c>
      <c r="F80" t="s">
        <v>18</v>
      </c>
      <c r="G80" t="str">
        <f t="shared" si="4"/>
        <v>Variable</v>
      </c>
      <c r="H80" s="12">
        <v>14589</v>
      </c>
      <c r="I80" t="s">
        <v>16</v>
      </c>
      <c r="J80" t="s">
        <v>17</v>
      </c>
      <c r="K80">
        <f t="shared" si="5"/>
        <v>0</v>
      </c>
    </row>
    <row r="81" spans="1:11" x14ac:dyDescent="0.25">
      <c r="A81">
        <v>5147</v>
      </c>
      <c r="B81" s="10">
        <v>45677</v>
      </c>
      <c r="C81" s="10" t="str">
        <f t="shared" si="3"/>
        <v>Jan</v>
      </c>
      <c r="D81" t="s">
        <v>25</v>
      </c>
      <c r="E81" t="s">
        <v>14</v>
      </c>
      <c r="F81" t="s">
        <v>27</v>
      </c>
      <c r="G81" t="str">
        <f t="shared" si="4"/>
        <v>Variable</v>
      </c>
      <c r="H81" s="12">
        <v>14589</v>
      </c>
      <c r="I81" t="s">
        <v>11</v>
      </c>
      <c r="J81" t="s">
        <v>12</v>
      </c>
      <c r="K81">
        <f t="shared" si="5"/>
        <v>1</v>
      </c>
    </row>
    <row r="82" spans="1:11" x14ac:dyDescent="0.25">
      <c r="A82">
        <v>5181</v>
      </c>
      <c r="B82" s="10">
        <v>45756</v>
      </c>
      <c r="C82" s="10" t="str">
        <f t="shared" si="3"/>
        <v>Apr</v>
      </c>
      <c r="D82" t="s">
        <v>8</v>
      </c>
      <c r="E82" t="s">
        <v>14</v>
      </c>
      <c r="F82" t="s">
        <v>10</v>
      </c>
      <c r="G82" t="str">
        <f t="shared" si="4"/>
        <v>Fixed</v>
      </c>
      <c r="H82" s="12">
        <v>14455</v>
      </c>
      <c r="I82" t="s">
        <v>16</v>
      </c>
      <c r="J82" t="s">
        <v>12</v>
      </c>
      <c r="K82">
        <f t="shared" si="5"/>
        <v>1</v>
      </c>
    </row>
    <row r="83" spans="1:11" x14ac:dyDescent="0.25">
      <c r="A83">
        <v>5254</v>
      </c>
      <c r="B83" s="10">
        <v>45753</v>
      </c>
      <c r="C83" s="10" t="str">
        <f t="shared" si="3"/>
        <v>Apr</v>
      </c>
      <c r="D83" t="s">
        <v>21</v>
      </c>
      <c r="E83" t="s">
        <v>20</v>
      </c>
      <c r="F83" t="s">
        <v>10</v>
      </c>
      <c r="G83" t="str">
        <f t="shared" si="4"/>
        <v>Fixed</v>
      </c>
      <c r="H83" s="12">
        <v>14420</v>
      </c>
      <c r="I83" t="s">
        <v>11</v>
      </c>
      <c r="J83" t="s">
        <v>17</v>
      </c>
      <c r="K83">
        <f t="shared" si="5"/>
        <v>0</v>
      </c>
    </row>
    <row r="84" spans="1:11" x14ac:dyDescent="0.25">
      <c r="A84">
        <v>5031</v>
      </c>
      <c r="B84" s="10">
        <v>45756</v>
      </c>
      <c r="C84" s="10" t="str">
        <f t="shared" si="3"/>
        <v>Apr</v>
      </c>
      <c r="D84" t="s">
        <v>21</v>
      </c>
      <c r="E84" t="s">
        <v>9</v>
      </c>
      <c r="F84" t="s">
        <v>18</v>
      </c>
      <c r="G84" t="str">
        <f t="shared" si="4"/>
        <v>Variable</v>
      </c>
      <c r="H84" s="12">
        <v>14283</v>
      </c>
      <c r="I84" t="s">
        <v>11</v>
      </c>
      <c r="J84" t="s">
        <v>17</v>
      </c>
      <c r="K84">
        <f t="shared" si="5"/>
        <v>0</v>
      </c>
    </row>
    <row r="85" spans="1:11" x14ac:dyDescent="0.25">
      <c r="A85">
        <v>5201</v>
      </c>
      <c r="B85" s="10">
        <v>45671</v>
      </c>
      <c r="C85" s="10" t="str">
        <f t="shared" si="3"/>
        <v>Jan</v>
      </c>
      <c r="D85" t="s">
        <v>23</v>
      </c>
      <c r="E85" t="s">
        <v>20</v>
      </c>
      <c r="F85" t="s">
        <v>18</v>
      </c>
      <c r="G85" t="str">
        <f t="shared" si="4"/>
        <v>Variable</v>
      </c>
      <c r="H85" s="12">
        <v>14237</v>
      </c>
      <c r="I85" t="s">
        <v>19</v>
      </c>
      <c r="J85" t="s">
        <v>12</v>
      </c>
      <c r="K85">
        <f t="shared" si="5"/>
        <v>1</v>
      </c>
    </row>
    <row r="86" spans="1:11" x14ac:dyDescent="0.25">
      <c r="A86">
        <v>5230</v>
      </c>
      <c r="B86" s="10">
        <v>45688</v>
      </c>
      <c r="C86" s="10" t="str">
        <f t="shared" si="3"/>
        <v>Jan</v>
      </c>
      <c r="D86" t="s">
        <v>25</v>
      </c>
      <c r="E86" t="s">
        <v>20</v>
      </c>
      <c r="F86" t="s">
        <v>18</v>
      </c>
      <c r="G86" t="str">
        <f t="shared" si="4"/>
        <v>Variable</v>
      </c>
      <c r="H86" s="12">
        <v>14219</v>
      </c>
      <c r="I86" t="s">
        <v>19</v>
      </c>
      <c r="J86" t="s">
        <v>12</v>
      </c>
      <c r="K86">
        <f t="shared" si="5"/>
        <v>1</v>
      </c>
    </row>
    <row r="87" spans="1:11" x14ac:dyDescent="0.25">
      <c r="A87">
        <v>5081</v>
      </c>
      <c r="B87" s="10">
        <v>45663</v>
      </c>
      <c r="C87" s="10" t="str">
        <f t="shared" si="3"/>
        <v>Jan</v>
      </c>
      <c r="D87" t="s">
        <v>8</v>
      </c>
      <c r="E87" t="s">
        <v>22</v>
      </c>
      <c r="F87" t="s">
        <v>18</v>
      </c>
      <c r="G87" t="str">
        <f t="shared" si="4"/>
        <v>Variable</v>
      </c>
      <c r="H87" s="12">
        <v>14213</v>
      </c>
      <c r="I87" t="s">
        <v>19</v>
      </c>
      <c r="J87" t="s">
        <v>17</v>
      </c>
      <c r="K87">
        <f t="shared" si="5"/>
        <v>0</v>
      </c>
    </row>
    <row r="88" spans="1:11" x14ac:dyDescent="0.25">
      <c r="A88">
        <v>5021</v>
      </c>
      <c r="B88" s="10">
        <v>45729</v>
      </c>
      <c r="C88" s="10" t="str">
        <f t="shared" si="3"/>
        <v>Mar</v>
      </c>
      <c r="D88" t="s">
        <v>25</v>
      </c>
      <c r="E88" t="s">
        <v>14</v>
      </c>
      <c r="F88" t="s">
        <v>18</v>
      </c>
      <c r="G88" t="str">
        <f t="shared" si="4"/>
        <v>Variable</v>
      </c>
      <c r="H88" s="12">
        <v>14199</v>
      </c>
      <c r="I88" t="s">
        <v>19</v>
      </c>
      <c r="J88" t="s">
        <v>12</v>
      </c>
      <c r="K88">
        <f t="shared" si="5"/>
        <v>1</v>
      </c>
    </row>
    <row r="89" spans="1:11" x14ac:dyDescent="0.25">
      <c r="A89">
        <v>5048</v>
      </c>
      <c r="B89" s="10">
        <v>45723</v>
      </c>
      <c r="C89" s="10" t="str">
        <f t="shared" si="3"/>
        <v>Mar</v>
      </c>
      <c r="D89" t="s">
        <v>25</v>
      </c>
      <c r="E89" t="s">
        <v>20</v>
      </c>
      <c r="F89" t="s">
        <v>18</v>
      </c>
      <c r="G89" t="str">
        <f t="shared" si="4"/>
        <v>Variable</v>
      </c>
      <c r="H89" s="12">
        <v>14181</v>
      </c>
      <c r="I89" t="s">
        <v>19</v>
      </c>
      <c r="J89" t="s">
        <v>17</v>
      </c>
      <c r="K89">
        <f t="shared" si="5"/>
        <v>0</v>
      </c>
    </row>
    <row r="90" spans="1:11" x14ac:dyDescent="0.25">
      <c r="A90">
        <v>5145</v>
      </c>
      <c r="B90" s="10">
        <v>45720</v>
      </c>
      <c r="C90" s="10" t="str">
        <f t="shared" si="3"/>
        <v>Mar</v>
      </c>
      <c r="D90" t="s">
        <v>25</v>
      </c>
      <c r="E90" t="s">
        <v>20</v>
      </c>
      <c r="F90" t="s">
        <v>27</v>
      </c>
      <c r="G90" t="str">
        <f t="shared" si="4"/>
        <v>Variable</v>
      </c>
      <c r="H90" s="12">
        <v>14154</v>
      </c>
      <c r="I90" t="s">
        <v>16</v>
      </c>
      <c r="J90" t="s">
        <v>12</v>
      </c>
      <c r="K90">
        <f t="shared" si="5"/>
        <v>1</v>
      </c>
    </row>
    <row r="91" spans="1:11" x14ac:dyDescent="0.25">
      <c r="A91">
        <v>5212</v>
      </c>
      <c r="B91" s="10">
        <v>45695</v>
      </c>
      <c r="C91" s="10" t="str">
        <f t="shared" si="3"/>
        <v>Feb</v>
      </c>
      <c r="D91" t="s">
        <v>25</v>
      </c>
      <c r="E91" t="s">
        <v>20</v>
      </c>
      <c r="F91" t="s">
        <v>24</v>
      </c>
      <c r="G91" t="str">
        <f t="shared" si="4"/>
        <v>Variable</v>
      </c>
      <c r="H91" s="12">
        <v>14049</v>
      </c>
      <c r="I91" t="s">
        <v>16</v>
      </c>
      <c r="J91" t="s">
        <v>12</v>
      </c>
      <c r="K91">
        <f t="shared" si="5"/>
        <v>1</v>
      </c>
    </row>
    <row r="92" spans="1:11" x14ac:dyDescent="0.25">
      <c r="A92">
        <v>5116</v>
      </c>
      <c r="B92" s="10">
        <v>45752</v>
      </c>
      <c r="C92" s="10" t="str">
        <f t="shared" si="3"/>
        <v>Apr</v>
      </c>
      <c r="D92" t="s">
        <v>8</v>
      </c>
      <c r="E92" t="s">
        <v>14</v>
      </c>
      <c r="F92" t="s">
        <v>15</v>
      </c>
      <c r="G92" t="str">
        <f t="shared" si="4"/>
        <v>Variable</v>
      </c>
      <c r="H92" s="12">
        <v>13948</v>
      </c>
      <c r="I92" t="s">
        <v>19</v>
      </c>
      <c r="J92" t="s">
        <v>12</v>
      </c>
      <c r="K92">
        <f t="shared" si="5"/>
        <v>1</v>
      </c>
    </row>
    <row r="93" spans="1:11" x14ac:dyDescent="0.25">
      <c r="A93">
        <v>5249</v>
      </c>
      <c r="B93" s="10">
        <v>45670</v>
      </c>
      <c r="C93" s="10" t="str">
        <f t="shared" si="3"/>
        <v>Jan</v>
      </c>
      <c r="D93" t="s">
        <v>13</v>
      </c>
      <c r="E93" t="s">
        <v>14</v>
      </c>
      <c r="F93" t="s">
        <v>27</v>
      </c>
      <c r="G93" t="str">
        <f t="shared" si="4"/>
        <v>Variable</v>
      </c>
      <c r="H93" s="12">
        <v>13942</v>
      </c>
      <c r="I93" t="s">
        <v>16</v>
      </c>
      <c r="J93" t="s">
        <v>12</v>
      </c>
      <c r="K93">
        <f t="shared" si="5"/>
        <v>1</v>
      </c>
    </row>
    <row r="94" spans="1:11" x14ac:dyDescent="0.25">
      <c r="A94">
        <v>5097</v>
      </c>
      <c r="B94" s="10">
        <v>45682</v>
      </c>
      <c r="C94" s="10" t="str">
        <f t="shared" si="3"/>
        <v>Jan</v>
      </c>
      <c r="D94" t="s">
        <v>8</v>
      </c>
      <c r="E94" t="s">
        <v>9</v>
      </c>
      <c r="F94" t="s">
        <v>27</v>
      </c>
      <c r="G94" t="str">
        <f t="shared" si="4"/>
        <v>Variable</v>
      </c>
      <c r="H94" s="12">
        <v>13807</v>
      </c>
      <c r="I94" t="s">
        <v>16</v>
      </c>
      <c r="J94" t="s">
        <v>12</v>
      </c>
      <c r="K94">
        <f t="shared" si="5"/>
        <v>1</v>
      </c>
    </row>
    <row r="95" spans="1:11" x14ac:dyDescent="0.25">
      <c r="A95">
        <v>5060</v>
      </c>
      <c r="B95" s="10">
        <v>45703</v>
      </c>
      <c r="C95" s="10" t="str">
        <f t="shared" si="3"/>
        <v>Feb</v>
      </c>
      <c r="D95" t="s">
        <v>23</v>
      </c>
      <c r="E95" t="s">
        <v>22</v>
      </c>
      <c r="F95" t="s">
        <v>15</v>
      </c>
      <c r="G95" t="str">
        <f t="shared" si="4"/>
        <v>Variable</v>
      </c>
      <c r="H95" s="12">
        <v>13752</v>
      </c>
      <c r="I95" t="s">
        <v>11</v>
      </c>
      <c r="J95" t="s">
        <v>17</v>
      </c>
      <c r="K95">
        <f t="shared" si="5"/>
        <v>0</v>
      </c>
    </row>
    <row r="96" spans="1:11" x14ac:dyDescent="0.25">
      <c r="A96">
        <v>5110</v>
      </c>
      <c r="B96" s="10">
        <v>45693</v>
      </c>
      <c r="C96" s="10" t="str">
        <f t="shared" si="3"/>
        <v>Feb</v>
      </c>
      <c r="D96" t="s">
        <v>8</v>
      </c>
      <c r="E96" t="s">
        <v>9</v>
      </c>
      <c r="F96" t="s">
        <v>10</v>
      </c>
      <c r="G96" t="str">
        <f t="shared" si="4"/>
        <v>Fixed</v>
      </c>
      <c r="H96" s="12">
        <v>13737</v>
      </c>
      <c r="I96" t="s">
        <v>11</v>
      </c>
      <c r="J96" t="s">
        <v>17</v>
      </c>
      <c r="K96">
        <f t="shared" si="5"/>
        <v>0</v>
      </c>
    </row>
    <row r="97" spans="1:11" x14ac:dyDescent="0.25">
      <c r="A97">
        <v>5133</v>
      </c>
      <c r="B97" s="10">
        <v>45761</v>
      </c>
      <c r="C97" s="10" t="str">
        <f t="shared" si="3"/>
        <v>Apr</v>
      </c>
      <c r="D97" t="s">
        <v>8</v>
      </c>
      <c r="E97" t="s">
        <v>14</v>
      </c>
      <c r="F97" t="s">
        <v>15</v>
      </c>
      <c r="G97" t="str">
        <f t="shared" si="4"/>
        <v>Variable</v>
      </c>
      <c r="H97" s="12">
        <v>13689</v>
      </c>
      <c r="I97" t="s">
        <v>19</v>
      </c>
      <c r="J97" t="s">
        <v>12</v>
      </c>
      <c r="K97">
        <f t="shared" si="5"/>
        <v>1</v>
      </c>
    </row>
    <row r="98" spans="1:11" x14ac:dyDescent="0.25">
      <c r="A98">
        <v>5172</v>
      </c>
      <c r="B98" s="10">
        <v>45701</v>
      </c>
      <c r="C98" s="10" t="str">
        <f t="shared" si="3"/>
        <v>Feb</v>
      </c>
      <c r="D98" t="s">
        <v>21</v>
      </c>
      <c r="E98" t="s">
        <v>14</v>
      </c>
      <c r="F98" t="s">
        <v>24</v>
      </c>
      <c r="G98" t="str">
        <f t="shared" si="4"/>
        <v>Variable</v>
      </c>
      <c r="H98" s="12">
        <v>13484</v>
      </c>
      <c r="I98" t="s">
        <v>19</v>
      </c>
      <c r="J98" t="s">
        <v>17</v>
      </c>
      <c r="K98">
        <f t="shared" si="5"/>
        <v>0</v>
      </c>
    </row>
    <row r="99" spans="1:11" x14ac:dyDescent="0.25">
      <c r="A99">
        <v>5132</v>
      </c>
      <c r="B99" s="10">
        <v>45759</v>
      </c>
      <c r="C99" s="10" t="str">
        <f t="shared" si="3"/>
        <v>Apr</v>
      </c>
      <c r="D99" t="s">
        <v>8</v>
      </c>
      <c r="E99" t="s">
        <v>22</v>
      </c>
      <c r="F99" t="s">
        <v>27</v>
      </c>
      <c r="G99" t="str">
        <f t="shared" si="4"/>
        <v>Variable</v>
      </c>
      <c r="H99" s="12">
        <v>13475</v>
      </c>
      <c r="I99" t="s">
        <v>19</v>
      </c>
      <c r="J99" t="s">
        <v>17</v>
      </c>
      <c r="K99">
        <f t="shared" si="5"/>
        <v>0</v>
      </c>
    </row>
    <row r="100" spans="1:11" x14ac:dyDescent="0.25">
      <c r="A100">
        <v>5197</v>
      </c>
      <c r="B100" s="10">
        <v>45694</v>
      </c>
      <c r="C100" s="10" t="str">
        <f t="shared" si="3"/>
        <v>Feb</v>
      </c>
      <c r="D100" t="s">
        <v>25</v>
      </c>
      <c r="E100" t="s">
        <v>22</v>
      </c>
      <c r="F100" t="s">
        <v>26</v>
      </c>
      <c r="G100" t="str">
        <f t="shared" si="4"/>
        <v>Variable</v>
      </c>
      <c r="H100" s="12">
        <v>13409</v>
      </c>
      <c r="I100" t="s">
        <v>19</v>
      </c>
      <c r="J100" t="s">
        <v>17</v>
      </c>
      <c r="K100">
        <f t="shared" si="5"/>
        <v>0</v>
      </c>
    </row>
    <row r="101" spans="1:11" x14ac:dyDescent="0.25">
      <c r="A101">
        <v>5057</v>
      </c>
      <c r="B101" s="10">
        <v>45701</v>
      </c>
      <c r="C101" s="10" t="str">
        <f t="shared" si="3"/>
        <v>Feb</v>
      </c>
      <c r="D101" t="s">
        <v>25</v>
      </c>
      <c r="E101" t="s">
        <v>14</v>
      </c>
      <c r="F101" t="s">
        <v>18</v>
      </c>
      <c r="G101" t="str">
        <f t="shared" si="4"/>
        <v>Variable</v>
      </c>
      <c r="H101" s="12">
        <v>13320</v>
      </c>
      <c r="I101" t="s">
        <v>16</v>
      </c>
      <c r="J101" t="s">
        <v>12</v>
      </c>
      <c r="K101">
        <f t="shared" si="5"/>
        <v>1</v>
      </c>
    </row>
    <row r="102" spans="1:11" x14ac:dyDescent="0.25">
      <c r="A102">
        <v>5234</v>
      </c>
      <c r="B102" s="10">
        <v>45691</v>
      </c>
      <c r="C102" s="10" t="str">
        <f t="shared" si="3"/>
        <v>Feb</v>
      </c>
      <c r="D102" t="s">
        <v>8</v>
      </c>
      <c r="E102" t="s">
        <v>20</v>
      </c>
      <c r="F102" t="s">
        <v>18</v>
      </c>
      <c r="G102" t="str">
        <f t="shared" si="4"/>
        <v>Variable</v>
      </c>
      <c r="H102" s="12">
        <v>13310</v>
      </c>
      <c r="I102" t="s">
        <v>11</v>
      </c>
      <c r="J102" t="s">
        <v>12</v>
      </c>
      <c r="K102">
        <f t="shared" si="5"/>
        <v>1</v>
      </c>
    </row>
    <row r="103" spans="1:11" x14ac:dyDescent="0.25">
      <c r="A103">
        <v>5007</v>
      </c>
      <c r="B103" s="10">
        <v>45664</v>
      </c>
      <c r="C103" s="10" t="str">
        <f t="shared" si="3"/>
        <v>Jan</v>
      </c>
      <c r="D103" t="s">
        <v>13</v>
      </c>
      <c r="E103" t="s">
        <v>14</v>
      </c>
      <c r="F103" t="s">
        <v>26</v>
      </c>
      <c r="G103" t="str">
        <f t="shared" si="4"/>
        <v>Variable</v>
      </c>
      <c r="H103" s="12">
        <v>13145</v>
      </c>
      <c r="I103" t="s">
        <v>19</v>
      </c>
      <c r="J103" t="s">
        <v>17</v>
      </c>
      <c r="K103">
        <f t="shared" si="5"/>
        <v>0</v>
      </c>
    </row>
    <row r="104" spans="1:11" x14ac:dyDescent="0.25">
      <c r="A104">
        <v>5251</v>
      </c>
      <c r="B104" s="10">
        <v>45719</v>
      </c>
      <c r="C104" s="10" t="str">
        <f t="shared" si="3"/>
        <v>Mar</v>
      </c>
      <c r="D104" t="s">
        <v>8</v>
      </c>
      <c r="E104" t="s">
        <v>14</v>
      </c>
      <c r="F104" t="s">
        <v>26</v>
      </c>
      <c r="G104" t="str">
        <f t="shared" si="4"/>
        <v>Variable</v>
      </c>
      <c r="H104" s="12">
        <v>13144</v>
      </c>
      <c r="I104" t="s">
        <v>16</v>
      </c>
      <c r="J104" t="s">
        <v>17</v>
      </c>
      <c r="K104">
        <f t="shared" si="5"/>
        <v>0</v>
      </c>
    </row>
    <row r="105" spans="1:11" x14ac:dyDescent="0.25">
      <c r="A105">
        <v>5129</v>
      </c>
      <c r="B105" s="10">
        <v>45773</v>
      </c>
      <c r="C105" s="10" t="str">
        <f t="shared" si="3"/>
        <v>Apr</v>
      </c>
      <c r="D105" t="s">
        <v>21</v>
      </c>
      <c r="E105" t="s">
        <v>9</v>
      </c>
      <c r="F105" t="s">
        <v>26</v>
      </c>
      <c r="G105" t="str">
        <f t="shared" si="4"/>
        <v>Variable</v>
      </c>
      <c r="H105" s="12">
        <v>13078</v>
      </c>
      <c r="I105" t="s">
        <v>19</v>
      </c>
      <c r="J105" t="s">
        <v>12</v>
      </c>
      <c r="K105">
        <f t="shared" si="5"/>
        <v>1</v>
      </c>
    </row>
    <row r="106" spans="1:11" x14ac:dyDescent="0.25">
      <c r="A106">
        <v>5294</v>
      </c>
      <c r="B106" s="10">
        <v>45734</v>
      </c>
      <c r="C106" s="10" t="str">
        <f t="shared" si="3"/>
        <v>Mar</v>
      </c>
      <c r="D106" t="s">
        <v>25</v>
      </c>
      <c r="E106" t="s">
        <v>9</v>
      </c>
      <c r="F106" t="s">
        <v>26</v>
      </c>
      <c r="G106" t="str">
        <f t="shared" si="4"/>
        <v>Variable</v>
      </c>
      <c r="H106" s="12">
        <v>12967</v>
      </c>
      <c r="I106" t="s">
        <v>11</v>
      </c>
      <c r="J106" t="s">
        <v>12</v>
      </c>
      <c r="K106">
        <f t="shared" si="5"/>
        <v>1</v>
      </c>
    </row>
    <row r="107" spans="1:11" x14ac:dyDescent="0.25">
      <c r="A107">
        <v>5264</v>
      </c>
      <c r="B107" s="10">
        <v>45706</v>
      </c>
      <c r="C107" s="10" t="str">
        <f t="shared" si="3"/>
        <v>Feb</v>
      </c>
      <c r="D107" t="s">
        <v>25</v>
      </c>
      <c r="E107" t="s">
        <v>9</v>
      </c>
      <c r="F107" t="s">
        <v>10</v>
      </c>
      <c r="G107" t="str">
        <f t="shared" si="4"/>
        <v>Fixed</v>
      </c>
      <c r="H107" s="12">
        <v>12910</v>
      </c>
      <c r="I107" t="s">
        <v>11</v>
      </c>
      <c r="J107" t="s">
        <v>17</v>
      </c>
      <c r="K107">
        <f t="shared" si="5"/>
        <v>0</v>
      </c>
    </row>
    <row r="108" spans="1:11" x14ac:dyDescent="0.25">
      <c r="A108">
        <v>5101</v>
      </c>
      <c r="B108" s="10">
        <v>45679</v>
      </c>
      <c r="C108" s="10" t="str">
        <f t="shared" si="3"/>
        <v>Jan</v>
      </c>
      <c r="D108" t="s">
        <v>8</v>
      </c>
      <c r="E108" t="s">
        <v>22</v>
      </c>
      <c r="F108" t="s">
        <v>18</v>
      </c>
      <c r="G108" t="str">
        <f t="shared" si="4"/>
        <v>Variable</v>
      </c>
      <c r="H108" s="12">
        <v>12865</v>
      </c>
      <c r="I108" t="s">
        <v>11</v>
      </c>
      <c r="J108" t="s">
        <v>17</v>
      </c>
      <c r="K108">
        <f t="shared" si="5"/>
        <v>0</v>
      </c>
    </row>
    <row r="109" spans="1:11" x14ac:dyDescent="0.25">
      <c r="A109">
        <v>5154</v>
      </c>
      <c r="B109" s="10">
        <v>45738</v>
      </c>
      <c r="C109" s="10" t="str">
        <f t="shared" si="3"/>
        <v>Mar</v>
      </c>
      <c r="D109" t="s">
        <v>25</v>
      </c>
      <c r="E109" t="s">
        <v>9</v>
      </c>
      <c r="F109" t="s">
        <v>10</v>
      </c>
      <c r="G109" t="str">
        <f t="shared" si="4"/>
        <v>Fixed</v>
      </c>
      <c r="H109" s="12">
        <v>12706</v>
      </c>
      <c r="I109" t="s">
        <v>16</v>
      </c>
      <c r="J109" t="s">
        <v>17</v>
      </c>
      <c r="K109">
        <f t="shared" si="5"/>
        <v>0</v>
      </c>
    </row>
    <row r="110" spans="1:11" x14ac:dyDescent="0.25">
      <c r="A110">
        <v>5217</v>
      </c>
      <c r="B110" s="10">
        <v>45733</v>
      </c>
      <c r="C110" s="10" t="str">
        <f t="shared" si="3"/>
        <v>Mar</v>
      </c>
      <c r="D110" t="s">
        <v>8</v>
      </c>
      <c r="E110" t="s">
        <v>14</v>
      </c>
      <c r="F110" t="s">
        <v>10</v>
      </c>
      <c r="G110" t="str">
        <f t="shared" si="4"/>
        <v>Fixed</v>
      </c>
      <c r="H110" s="12">
        <v>12695</v>
      </c>
      <c r="I110" t="s">
        <v>19</v>
      </c>
      <c r="J110" t="s">
        <v>17</v>
      </c>
      <c r="K110">
        <f t="shared" si="5"/>
        <v>0</v>
      </c>
    </row>
    <row r="111" spans="1:11" x14ac:dyDescent="0.25">
      <c r="A111">
        <v>5284</v>
      </c>
      <c r="B111" s="10">
        <v>45710</v>
      </c>
      <c r="C111" s="10" t="str">
        <f t="shared" si="3"/>
        <v>Feb</v>
      </c>
      <c r="D111" t="s">
        <v>23</v>
      </c>
      <c r="E111" t="s">
        <v>14</v>
      </c>
      <c r="F111" t="s">
        <v>18</v>
      </c>
      <c r="G111" t="str">
        <f t="shared" si="4"/>
        <v>Variable</v>
      </c>
      <c r="H111" s="12">
        <v>12692</v>
      </c>
      <c r="I111" t="s">
        <v>11</v>
      </c>
      <c r="J111" t="s">
        <v>17</v>
      </c>
      <c r="K111">
        <f t="shared" si="5"/>
        <v>0</v>
      </c>
    </row>
    <row r="112" spans="1:11" x14ac:dyDescent="0.25">
      <c r="A112">
        <v>5105</v>
      </c>
      <c r="B112" s="10">
        <v>45703</v>
      </c>
      <c r="C112" s="10" t="str">
        <f t="shared" si="3"/>
        <v>Feb</v>
      </c>
      <c r="D112" t="s">
        <v>23</v>
      </c>
      <c r="E112" t="s">
        <v>9</v>
      </c>
      <c r="F112" t="s">
        <v>24</v>
      </c>
      <c r="G112" t="str">
        <f t="shared" si="4"/>
        <v>Variable</v>
      </c>
      <c r="H112" s="12">
        <v>12688</v>
      </c>
      <c r="I112" t="s">
        <v>11</v>
      </c>
      <c r="J112" t="s">
        <v>17</v>
      </c>
      <c r="K112">
        <f t="shared" si="5"/>
        <v>0</v>
      </c>
    </row>
    <row r="113" spans="1:11" x14ac:dyDescent="0.25">
      <c r="A113">
        <v>5210</v>
      </c>
      <c r="B113" s="10">
        <v>45716</v>
      </c>
      <c r="C113" s="10" t="str">
        <f t="shared" si="3"/>
        <v>Feb</v>
      </c>
      <c r="D113" t="s">
        <v>21</v>
      </c>
      <c r="E113" t="s">
        <v>22</v>
      </c>
      <c r="F113" t="s">
        <v>26</v>
      </c>
      <c r="G113" t="str">
        <f t="shared" si="4"/>
        <v>Variable</v>
      </c>
      <c r="H113" s="12">
        <v>12659</v>
      </c>
      <c r="I113" t="s">
        <v>11</v>
      </c>
      <c r="J113" t="s">
        <v>17</v>
      </c>
      <c r="K113">
        <f t="shared" si="5"/>
        <v>0</v>
      </c>
    </row>
    <row r="114" spans="1:11" x14ac:dyDescent="0.25">
      <c r="A114">
        <v>5040</v>
      </c>
      <c r="B114" s="10">
        <v>45690</v>
      </c>
      <c r="C114" s="10" t="str">
        <f t="shared" si="3"/>
        <v>Feb</v>
      </c>
      <c r="D114" t="s">
        <v>8</v>
      </c>
      <c r="E114" t="s">
        <v>22</v>
      </c>
      <c r="F114" t="s">
        <v>15</v>
      </c>
      <c r="G114" t="str">
        <f t="shared" si="4"/>
        <v>Variable</v>
      </c>
      <c r="H114" s="12">
        <v>12542</v>
      </c>
      <c r="I114" t="s">
        <v>11</v>
      </c>
      <c r="J114" t="s">
        <v>12</v>
      </c>
      <c r="K114">
        <f t="shared" si="5"/>
        <v>1</v>
      </c>
    </row>
    <row r="115" spans="1:11" x14ac:dyDescent="0.25">
      <c r="A115">
        <v>5061</v>
      </c>
      <c r="B115" s="10">
        <v>45715</v>
      </c>
      <c r="C115" s="10" t="str">
        <f t="shared" si="3"/>
        <v>Feb</v>
      </c>
      <c r="D115" t="s">
        <v>23</v>
      </c>
      <c r="E115" t="s">
        <v>14</v>
      </c>
      <c r="F115" t="s">
        <v>18</v>
      </c>
      <c r="G115" t="str">
        <f t="shared" si="4"/>
        <v>Variable</v>
      </c>
      <c r="H115" s="12">
        <v>12516</v>
      </c>
      <c r="I115" t="s">
        <v>19</v>
      </c>
      <c r="J115" t="s">
        <v>12</v>
      </c>
      <c r="K115">
        <f t="shared" si="5"/>
        <v>1</v>
      </c>
    </row>
    <row r="116" spans="1:11" x14ac:dyDescent="0.25">
      <c r="A116">
        <v>5136</v>
      </c>
      <c r="B116" s="10">
        <v>45700</v>
      </c>
      <c r="C116" s="10" t="str">
        <f t="shared" si="3"/>
        <v>Feb</v>
      </c>
      <c r="D116" t="s">
        <v>23</v>
      </c>
      <c r="E116" t="s">
        <v>22</v>
      </c>
      <c r="F116" t="s">
        <v>26</v>
      </c>
      <c r="G116" t="str">
        <f t="shared" si="4"/>
        <v>Variable</v>
      </c>
      <c r="H116" s="12">
        <v>12492</v>
      </c>
      <c r="I116" t="s">
        <v>16</v>
      </c>
      <c r="J116" t="s">
        <v>17</v>
      </c>
      <c r="K116">
        <f t="shared" si="5"/>
        <v>0</v>
      </c>
    </row>
    <row r="117" spans="1:11" x14ac:dyDescent="0.25">
      <c r="A117">
        <v>5158</v>
      </c>
      <c r="B117" s="10">
        <v>45683</v>
      </c>
      <c r="C117" s="10" t="str">
        <f t="shared" si="3"/>
        <v>Jan</v>
      </c>
      <c r="D117" t="s">
        <v>13</v>
      </c>
      <c r="E117" t="s">
        <v>20</v>
      </c>
      <c r="F117" t="s">
        <v>24</v>
      </c>
      <c r="G117" t="str">
        <f t="shared" si="4"/>
        <v>Variable</v>
      </c>
      <c r="H117" s="12">
        <v>12488</v>
      </c>
      <c r="I117" t="s">
        <v>19</v>
      </c>
      <c r="J117" t="s">
        <v>12</v>
      </c>
      <c r="K117">
        <f t="shared" si="5"/>
        <v>1</v>
      </c>
    </row>
    <row r="118" spans="1:11" x14ac:dyDescent="0.25">
      <c r="A118">
        <v>5131</v>
      </c>
      <c r="B118" s="10">
        <v>45725</v>
      </c>
      <c r="C118" s="10" t="str">
        <f t="shared" si="3"/>
        <v>Mar</v>
      </c>
      <c r="D118" t="s">
        <v>23</v>
      </c>
      <c r="E118" t="s">
        <v>14</v>
      </c>
      <c r="F118" t="s">
        <v>10</v>
      </c>
      <c r="G118" t="str">
        <f t="shared" si="4"/>
        <v>Fixed</v>
      </c>
      <c r="H118" s="12">
        <v>12487</v>
      </c>
      <c r="I118" t="s">
        <v>19</v>
      </c>
      <c r="J118" t="s">
        <v>17</v>
      </c>
      <c r="K118">
        <f t="shared" si="5"/>
        <v>0</v>
      </c>
    </row>
    <row r="119" spans="1:11" x14ac:dyDescent="0.25">
      <c r="A119">
        <v>5228</v>
      </c>
      <c r="B119" s="10">
        <v>45719</v>
      </c>
      <c r="C119" s="10" t="str">
        <f t="shared" si="3"/>
        <v>Mar</v>
      </c>
      <c r="D119" t="s">
        <v>8</v>
      </c>
      <c r="E119" t="s">
        <v>14</v>
      </c>
      <c r="F119" t="s">
        <v>15</v>
      </c>
      <c r="G119" t="str">
        <f t="shared" si="4"/>
        <v>Variable</v>
      </c>
      <c r="H119" s="12">
        <v>12306</v>
      </c>
      <c r="I119" t="s">
        <v>11</v>
      </c>
      <c r="J119" t="s">
        <v>17</v>
      </c>
      <c r="K119">
        <f t="shared" si="5"/>
        <v>0</v>
      </c>
    </row>
    <row r="120" spans="1:11" x14ac:dyDescent="0.25">
      <c r="A120">
        <v>5187</v>
      </c>
      <c r="B120" s="10">
        <v>45750</v>
      </c>
      <c r="C120" s="10" t="str">
        <f t="shared" si="3"/>
        <v>Apr</v>
      </c>
      <c r="D120" t="s">
        <v>13</v>
      </c>
      <c r="E120" t="s">
        <v>20</v>
      </c>
      <c r="F120" t="s">
        <v>24</v>
      </c>
      <c r="G120" t="str">
        <f t="shared" si="4"/>
        <v>Variable</v>
      </c>
      <c r="H120" s="12">
        <v>12254</v>
      </c>
      <c r="I120" t="s">
        <v>11</v>
      </c>
      <c r="J120" t="s">
        <v>12</v>
      </c>
      <c r="K120">
        <f t="shared" si="5"/>
        <v>1</v>
      </c>
    </row>
    <row r="121" spans="1:11" x14ac:dyDescent="0.25">
      <c r="A121">
        <v>5013</v>
      </c>
      <c r="B121" s="10">
        <v>45771</v>
      </c>
      <c r="C121" s="10" t="str">
        <f t="shared" si="3"/>
        <v>Apr</v>
      </c>
      <c r="D121" t="s">
        <v>25</v>
      </c>
      <c r="E121" t="s">
        <v>9</v>
      </c>
      <c r="F121" t="s">
        <v>18</v>
      </c>
      <c r="G121" t="str">
        <f t="shared" si="4"/>
        <v>Variable</v>
      </c>
      <c r="H121" s="12">
        <v>12242</v>
      </c>
      <c r="I121" t="s">
        <v>16</v>
      </c>
      <c r="J121" t="s">
        <v>17</v>
      </c>
      <c r="K121">
        <f t="shared" si="5"/>
        <v>0</v>
      </c>
    </row>
    <row r="122" spans="1:11" x14ac:dyDescent="0.25">
      <c r="A122">
        <v>5224</v>
      </c>
      <c r="B122" s="10">
        <v>45752</v>
      </c>
      <c r="C122" s="10" t="str">
        <f t="shared" si="3"/>
        <v>Apr</v>
      </c>
      <c r="D122" t="s">
        <v>25</v>
      </c>
      <c r="E122" t="s">
        <v>9</v>
      </c>
      <c r="F122" t="s">
        <v>27</v>
      </c>
      <c r="G122" t="str">
        <f t="shared" si="4"/>
        <v>Variable</v>
      </c>
      <c r="H122" s="12">
        <v>12141</v>
      </c>
      <c r="I122" t="s">
        <v>16</v>
      </c>
      <c r="J122" t="s">
        <v>17</v>
      </c>
      <c r="K122">
        <f t="shared" si="5"/>
        <v>0</v>
      </c>
    </row>
    <row r="123" spans="1:11" x14ac:dyDescent="0.25">
      <c r="A123">
        <v>5030</v>
      </c>
      <c r="B123" s="10">
        <v>45683</v>
      </c>
      <c r="C123" s="10" t="str">
        <f t="shared" si="3"/>
        <v>Jan</v>
      </c>
      <c r="D123" t="s">
        <v>21</v>
      </c>
      <c r="E123" t="s">
        <v>22</v>
      </c>
      <c r="F123" t="s">
        <v>10</v>
      </c>
      <c r="G123" t="str">
        <f t="shared" si="4"/>
        <v>Fixed</v>
      </c>
      <c r="H123" s="12">
        <v>12131</v>
      </c>
      <c r="I123" t="s">
        <v>19</v>
      </c>
      <c r="J123" t="s">
        <v>12</v>
      </c>
      <c r="K123">
        <f t="shared" si="5"/>
        <v>1</v>
      </c>
    </row>
    <row r="124" spans="1:11" x14ac:dyDescent="0.25">
      <c r="A124">
        <v>5150</v>
      </c>
      <c r="B124" s="10">
        <v>45726</v>
      </c>
      <c r="C124" s="10" t="str">
        <f t="shared" si="3"/>
        <v>Mar</v>
      </c>
      <c r="D124" t="s">
        <v>23</v>
      </c>
      <c r="E124" t="s">
        <v>9</v>
      </c>
      <c r="F124" t="s">
        <v>10</v>
      </c>
      <c r="G124" t="str">
        <f t="shared" si="4"/>
        <v>Fixed</v>
      </c>
      <c r="H124" s="12">
        <v>12034</v>
      </c>
      <c r="I124" t="s">
        <v>16</v>
      </c>
      <c r="J124" t="s">
        <v>17</v>
      </c>
      <c r="K124">
        <f t="shared" si="5"/>
        <v>0</v>
      </c>
    </row>
    <row r="125" spans="1:11" x14ac:dyDescent="0.25">
      <c r="A125">
        <v>5170</v>
      </c>
      <c r="B125" s="10">
        <v>45770</v>
      </c>
      <c r="C125" s="10" t="str">
        <f t="shared" si="3"/>
        <v>Apr</v>
      </c>
      <c r="D125" t="s">
        <v>23</v>
      </c>
      <c r="E125" t="s">
        <v>20</v>
      </c>
      <c r="F125" t="s">
        <v>15</v>
      </c>
      <c r="G125" t="str">
        <f t="shared" si="4"/>
        <v>Variable</v>
      </c>
      <c r="H125" s="12">
        <v>12017</v>
      </c>
      <c r="I125" t="s">
        <v>11</v>
      </c>
      <c r="J125" t="s">
        <v>12</v>
      </c>
      <c r="K125">
        <f t="shared" si="5"/>
        <v>1</v>
      </c>
    </row>
    <row r="126" spans="1:11" x14ac:dyDescent="0.25">
      <c r="A126">
        <v>5093</v>
      </c>
      <c r="B126" s="10">
        <v>45671</v>
      </c>
      <c r="C126" s="10" t="str">
        <f t="shared" si="3"/>
        <v>Jan</v>
      </c>
      <c r="D126" t="s">
        <v>23</v>
      </c>
      <c r="E126" t="s">
        <v>22</v>
      </c>
      <c r="F126" t="s">
        <v>18</v>
      </c>
      <c r="G126" t="str">
        <f t="shared" si="4"/>
        <v>Variable</v>
      </c>
      <c r="H126" s="12">
        <v>11976</v>
      </c>
      <c r="I126" t="s">
        <v>11</v>
      </c>
      <c r="J126" t="s">
        <v>12</v>
      </c>
      <c r="K126">
        <f t="shared" si="5"/>
        <v>1</v>
      </c>
    </row>
    <row r="127" spans="1:11" x14ac:dyDescent="0.25">
      <c r="A127">
        <v>5297</v>
      </c>
      <c r="B127" s="10">
        <v>45734</v>
      </c>
      <c r="C127" s="10" t="str">
        <f t="shared" si="3"/>
        <v>Mar</v>
      </c>
      <c r="D127" t="s">
        <v>13</v>
      </c>
      <c r="E127" t="s">
        <v>14</v>
      </c>
      <c r="F127" t="s">
        <v>10</v>
      </c>
      <c r="G127" t="str">
        <f t="shared" si="4"/>
        <v>Fixed</v>
      </c>
      <c r="H127" s="12">
        <v>11880</v>
      </c>
      <c r="I127" t="s">
        <v>19</v>
      </c>
      <c r="J127" t="s">
        <v>12</v>
      </c>
      <c r="K127">
        <f t="shared" si="5"/>
        <v>1</v>
      </c>
    </row>
    <row r="128" spans="1:11" x14ac:dyDescent="0.25">
      <c r="A128">
        <v>5161</v>
      </c>
      <c r="B128" s="10">
        <v>45702</v>
      </c>
      <c r="C128" s="10" t="str">
        <f t="shared" si="3"/>
        <v>Feb</v>
      </c>
      <c r="D128" t="s">
        <v>25</v>
      </c>
      <c r="E128" t="s">
        <v>20</v>
      </c>
      <c r="F128" t="s">
        <v>27</v>
      </c>
      <c r="G128" t="str">
        <f t="shared" si="4"/>
        <v>Variable</v>
      </c>
      <c r="H128" s="12">
        <v>11801</v>
      </c>
      <c r="I128" t="s">
        <v>11</v>
      </c>
      <c r="J128" t="s">
        <v>17</v>
      </c>
      <c r="K128">
        <f t="shared" si="5"/>
        <v>0</v>
      </c>
    </row>
    <row r="129" spans="1:11" x14ac:dyDescent="0.25">
      <c r="A129">
        <v>5063</v>
      </c>
      <c r="B129" s="10">
        <v>45671</v>
      </c>
      <c r="C129" s="10" t="str">
        <f t="shared" si="3"/>
        <v>Jan</v>
      </c>
      <c r="D129" t="s">
        <v>25</v>
      </c>
      <c r="E129" t="s">
        <v>14</v>
      </c>
      <c r="F129" t="s">
        <v>15</v>
      </c>
      <c r="G129" t="str">
        <f t="shared" si="4"/>
        <v>Variable</v>
      </c>
      <c r="H129" s="12">
        <v>11774</v>
      </c>
      <c r="I129" t="s">
        <v>16</v>
      </c>
      <c r="J129" t="s">
        <v>12</v>
      </c>
      <c r="K129">
        <f t="shared" si="5"/>
        <v>1</v>
      </c>
    </row>
    <row r="130" spans="1:11" x14ac:dyDescent="0.25">
      <c r="A130">
        <v>5293</v>
      </c>
      <c r="B130" s="10">
        <v>45741</v>
      </c>
      <c r="C130" s="10" t="str">
        <f t="shared" ref="C130:C193" si="6">TEXT(B130,"MMM")</f>
        <v>Mar</v>
      </c>
      <c r="D130" t="s">
        <v>8</v>
      </c>
      <c r="E130" t="s">
        <v>14</v>
      </c>
      <c r="F130" t="s">
        <v>15</v>
      </c>
      <c r="G130" t="str">
        <f t="shared" ref="G130:G193" si="7">IF(F130="Salaries","Fixed","Variable")</f>
        <v>Variable</v>
      </c>
      <c r="H130" s="12">
        <v>11668</v>
      </c>
      <c r="I130" t="s">
        <v>11</v>
      </c>
      <c r="J130" t="s">
        <v>17</v>
      </c>
      <c r="K130">
        <f t="shared" ref="K130:K193" si="8">IF(J130="Yes",1,0)</f>
        <v>0</v>
      </c>
    </row>
    <row r="131" spans="1:11" x14ac:dyDescent="0.25">
      <c r="A131">
        <v>5287</v>
      </c>
      <c r="B131" s="10">
        <v>45697</v>
      </c>
      <c r="C131" s="10" t="str">
        <f t="shared" si="6"/>
        <v>Feb</v>
      </c>
      <c r="D131" t="s">
        <v>23</v>
      </c>
      <c r="E131" t="s">
        <v>9</v>
      </c>
      <c r="F131" t="s">
        <v>27</v>
      </c>
      <c r="G131" t="str">
        <f t="shared" si="7"/>
        <v>Variable</v>
      </c>
      <c r="H131" s="12">
        <v>11536</v>
      </c>
      <c r="I131" t="s">
        <v>16</v>
      </c>
      <c r="J131" t="s">
        <v>17</v>
      </c>
      <c r="K131">
        <f t="shared" si="8"/>
        <v>0</v>
      </c>
    </row>
    <row r="132" spans="1:11" x14ac:dyDescent="0.25">
      <c r="A132">
        <v>5024</v>
      </c>
      <c r="B132" s="10">
        <v>45661</v>
      </c>
      <c r="C132" s="10" t="str">
        <f t="shared" si="6"/>
        <v>Jan</v>
      </c>
      <c r="D132" t="s">
        <v>8</v>
      </c>
      <c r="E132" t="s">
        <v>9</v>
      </c>
      <c r="F132" t="s">
        <v>26</v>
      </c>
      <c r="G132" t="str">
        <f t="shared" si="7"/>
        <v>Variable</v>
      </c>
      <c r="H132" s="12">
        <v>11532</v>
      </c>
      <c r="I132" t="s">
        <v>16</v>
      </c>
      <c r="J132" t="s">
        <v>12</v>
      </c>
      <c r="K132">
        <f t="shared" si="8"/>
        <v>1</v>
      </c>
    </row>
    <row r="133" spans="1:11" x14ac:dyDescent="0.25">
      <c r="A133">
        <v>5244</v>
      </c>
      <c r="B133" s="10">
        <v>45683</v>
      </c>
      <c r="C133" s="10" t="str">
        <f t="shared" si="6"/>
        <v>Jan</v>
      </c>
      <c r="D133" t="s">
        <v>21</v>
      </c>
      <c r="E133" t="s">
        <v>22</v>
      </c>
      <c r="F133" t="s">
        <v>26</v>
      </c>
      <c r="G133" t="str">
        <f t="shared" si="7"/>
        <v>Variable</v>
      </c>
      <c r="H133" s="12">
        <v>11524</v>
      </c>
      <c r="I133" t="s">
        <v>19</v>
      </c>
      <c r="J133" t="s">
        <v>17</v>
      </c>
      <c r="K133">
        <f t="shared" si="8"/>
        <v>0</v>
      </c>
    </row>
    <row r="134" spans="1:11" x14ac:dyDescent="0.25">
      <c r="A134">
        <v>5006</v>
      </c>
      <c r="B134" s="10">
        <v>45729</v>
      </c>
      <c r="C134" s="10" t="str">
        <f t="shared" si="6"/>
        <v>Mar</v>
      </c>
      <c r="D134" t="s">
        <v>25</v>
      </c>
      <c r="E134" t="s">
        <v>20</v>
      </c>
      <c r="F134" t="s">
        <v>18</v>
      </c>
      <c r="G134" t="str">
        <f t="shared" si="7"/>
        <v>Variable</v>
      </c>
      <c r="H134" s="12">
        <v>11489</v>
      </c>
      <c r="I134" t="s">
        <v>16</v>
      </c>
      <c r="J134" t="s">
        <v>17</v>
      </c>
      <c r="K134">
        <f t="shared" si="8"/>
        <v>0</v>
      </c>
    </row>
    <row r="135" spans="1:11" x14ac:dyDescent="0.25">
      <c r="A135">
        <v>5226</v>
      </c>
      <c r="B135" s="10">
        <v>45665</v>
      </c>
      <c r="C135" s="10" t="str">
        <f t="shared" si="6"/>
        <v>Jan</v>
      </c>
      <c r="D135" t="s">
        <v>13</v>
      </c>
      <c r="E135" t="s">
        <v>20</v>
      </c>
      <c r="F135" t="s">
        <v>18</v>
      </c>
      <c r="G135" t="str">
        <f t="shared" si="7"/>
        <v>Variable</v>
      </c>
      <c r="H135" s="12">
        <v>11483</v>
      </c>
      <c r="I135" t="s">
        <v>11</v>
      </c>
      <c r="J135" t="s">
        <v>17</v>
      </c>
      <c r="K135">
        <f t="shared" si="8"/>
        <v>0</v>
      </c>
    </row>
    <row r="136" spans="1:11" x14ac:dyDescent="0.25">
      <c r="A136">
        <v>5262</v>
      </c>
      <c r="B136" s="10">
        <v>45725</v>
      </c>
      <c r="C136" s="10" t="str">
        <f t="shared" si="6"/>
        <v>Mar</v>
      </c>
      <c r="D136" t="s">
        <v>21</v>
      </c>
      <c r="E136" t="s">
        <v>9</v>
      </c>
      <c r="F136" t="s">
        <v>18</v>
      </c>
      <c r="G136" t="str">
        <f t="shared" si="7"/>
        <v>Variable</v>
      </c>
      <c r="H136" s="12">
        <v>11462</v>
      </c>
      <c r="I136" t="s">
        <v>11</v>
      </c>
      <c r="J136" t="s">
        <v>17</v>
      </c>
      <c r="K136">
        <f t="shared" si="8"/>
        <v>0</v>
      </c>
    </row>
    <row r="137" spans="1:11" x14ac:dyDescent="0.25">
      <c r="A137">
        <v>5002</v>
      </c>
      <c r="B137" s="10">
        <v>45667</v>
      </c>
      <c r="C137" s="10" t="str">
        <f t="shared" si="6"/>
        <v>Jan</v>
      </c>
      <c r="D137" t="s">
        <v>13</v>
      </c>
      <c r="E137" t="s">
        <v>14</v>
      </c>
      <c r="F137" t="s">
        <v>18</v>
      </c>
      <c r="G137" t="str">
        <f t="shared" si="7"/>
        <v>Variable</v>
      </c>
      <c r="H137" s="12">
        <v>11455</v>
      </c>
      <c r="I137" t="s">
        <v>19</v>
      </c>
      <c r="J137" t="s">
        <v>17</v>
      </c>
      <c r="K137">
        <f t="shared" si="8"/>
        <v>0</v>
      </c>
    </row>
    <row r="138" spans="1:11" x14ac:dyDescent="0.25">
      <c r="A138">
        <v>5125</v>
      </c>
      <c r="B138" s="10">
        <v>45749</v>
      </c>
      <c r="C138" s="10" t="str">
        <f t="shared" si="6"/>
        <v>Apr</v>
      </c>
      <c r="D138" t="s">
        <v>25</v>
      </c>
      <c r="E138" t="s">
        <v>22</v>
      </c>
      <c r="F138" t="s">
        <v>24</v>
      </c>
      <c r="G138" t="str">
        <f t="shared" si="7"/>
        <v>Variable</v>
      </c>
      <c r="H138" s="12">
        <v>11406</v>
      </c>
      <c r="I138" t="s">
        <v>11</v>
      </c>
      <c r="J138" t="s">
        <v>17</v>
      </c>
      <c r="K138">
        <f t="shared" si="8"/>
        <v>0</v>
      </c>
    </row>
    <row r="139" spans="1:11" x14ac:dyDescent="0.25">
      <c r="A139">
        <v>5111</v>
      </c>
      <c r="B139" s="10">
        <v>45751</v>
      </c>
      <c r="C139" s="10" t="str">
        <f t="shared" si="6"/>
        <v>Apr</v>
      </c>
      <c r="D139" t="s">
        <v>8</v>
      </c>
      <c r="E139" t="s">
        <v>9</v>
      </c>
      <c r="F139" t="s">
        <v>18</v>
      </c>
      <c r="G139" t="str">
        <f t="shared" si="7"/>
        <v>Variable</v>
      </c>
      <c r="H139" s="12">
        <v>11382</v>
      </c>
      <c r="I139" t="s">
        <v>11</v>
      </c>
      <c r="J139" t="s">
        <v>17</v>
      </c>
      <c r="K139">
        <f t="shared" si="8"/>
        <v>0</v>
      </c>
    </row>
    <row r="140" spans="1:11" x14ac:dyDescent="0.25">
      <c r="A140">
        <v>5038</v>
      </c>
      <c r="B140" s="10">
        <v>45715</v>
      </c>
      <c r="C140" s="10" t="str">
        <f t="shared" si="6"/>
        <v>Feb</v>
      </c>
      <c r="D140" t="s">
        <v>8</v>
      </c>
      <c r="E140" t="s">
        <v>20</v>
      </c>
      <c r="F140" t="s">
        <v>24</v>
      </c>
      <c r="G140" t="str">
        <f t="shared" si="7"/>
        <v>Variable</v>
      </c>
      <c r="H140" s="12">
        <v>11335</v>
      </c>
      <c r="I140" t="s">
        <v>19</v>
      </c>
      <c r="J140" t="s">
        <v>17</v>
      </c>
      <c r="K140">
        <f t="shared" si="8"/>
        <v>0</v>
      </c>
    </row>
    <row r="141" spans="1:11" x14ac:dyDescent="0.25">
      <c r="A141">
        <v>5295</v>
      </c>
      <c r="B141" s="10">
        <v>45754</v>
      </c>
      <c r="C141" s="10" t="str">
        <f t="shared" si="6"/>
        <v>Apr</v>
      </c>
      <c r="D141" t="s">
        <v>23</v>
      </c>
      <c r="E141" t="s">
        <v>9</v>
      </c>
      <c r="F141" t="s">
        <v>24</v>
      </c>
      <c r="G141" t="str">
        <f t="shared" si="7"/>
        <v>Variable</v>
      </c>
      <c r="H141" s="12">
        <v>11282</v>
      </c>
      <c r="I141" t="s">
        <v>11</v>
      </c>
      <c r="J141" t="s">
        <v>17</v>
      </c>
      <c r="K141">
        <f t="shared" si="8"/>
        <v>0</v>
      </c>
    </row>
    <row r="142" spans="1:11" x14ac:dyDescent="0.25">
      <c r="A142">
        <v>5128</v>
      </c>
      <c r="B142" s="10">
        <v>45768</v>
      </c>
      <c r="C142" s="10" t="str">
        <f t="shared" si="6"/>
        <v>Apr</v>
      </c>
      <c r="D142" t="s">
        <v>23</v>
      </c>
      <c r="E142" t="s">
        <v>20</v>
      </c>
      <c r="F142" t="s">
        <v>10</v>
      </c>
      <c r="G142" t="str">
        <f t="shared" si="7"/>
        <v>Fixed</v>
      </c>
      <c r="H142" s="12">
        <v>11184</v>
      </c>
      <c r="I142" t="s">
        <v>11</v>
      </c>
      <c r="J142" t="s">
        <v>17</v>
      </c>
      <c r="K142">
        <f t="shared" si="8"/>
        <v>0</v>
      </c>
    </row>
    <row r="143" spans="1:11" x14ac:dyDescent="0.25">
      <c r="A143">
        <v>5171</v>
      </c>
      <c r="B143" s="10">
        <v>45727</v>
      </c>
      <c r="C143" s="10" t="str">
        <f t="shared" si="6"/>
        <v>Mar</v>
      </c>
      <c r="D143" t="s">
        <v>25</v>
      </c>
      <c r="E143" t="s">
        <v>22</v>
      </c>
      <c r="F143" t="s">
        <v>18</v>
      </c>
      <c r="G143" t="str">
        <f t="shared" si="7"/>
        <v>Variable</v>
      </c>
      <c r="H143" s="12">
        <v>11157</v>
      </c>
      <c r="I143" t="s">
        <v>19</v>
      </c>
      <c r="J143" t="s">
        <v>12</v>
      </c>
      <c r="K143">
        <f t="shared" si="8"/>
        <v>1</v>
      </c>
    </row>
    <row r="144" spans="1:11" x14ac:dyDescent="0.25">
      <c r="A144">
        <v>5067</v>
      </c>
      <c r="B144" s="10">
        <v>45678</v>
      </c>
      <c r="C144" s="10" t="str">
        <f t="shared" si="6"/>
        <v>Jan</v>
      </c>
      <c r="D144" t="s">
        <v>13</v>
      </c>
      <c r="E144" t="s">
        <v>22</v>
      </c>
      <c r="F144" t="s">
        <v>18</v>
      </c>
      <c r="G144" t="str">
        <f t="shared" si="7"/>
        <v>Variable</v>
      </c>
      <c r="H144" s="12">
        <v>11156</v>
      </c>
      <c r="I144" t="s">
        <v>11</v>
      </c>
      <c r="J144" t="s">
        <v>17</v>
      </c>
      <c r="K144">
        <f t="shared" si="8"/>
        <v>0</v>
      </c>
    </row>
    <row r="145" spans="1:11" x14ac:dyDescent="0.25">
      <c r="A145">
        <v>5135</v>
      </c>
      <c r="B145" s="10">
        <v>45745</v>
      </c>
      <c r="C145" s="10" t="str">
        <f t="shared" si="6"/>
        <v>Mar</v>
      </c>
      <c r="D145" t="s">
        <v>23</v>
      </c>
      <c r="E145" t="s">
        <v>20</v>
      </c>
      <c r="F145" t="s">
        <v>27</v>
      </c>
      <c r="G145" t="str">
        <f t="shared" si="7"/>
        <v>Variable</v>
      </c>
      <c r="H145" s="12">
        <v>11156</v>
      </c>
      <c r="I145" t="s">
        <v>16</v>
      </c>
      <c r="J145" t="s">
        <v>12</v>
      </c>
      <c r="K145">
        <f t="shared" si="8"/>
        <v>1</v>
      </c>
    </row>
    <row r="146" spans="1:11" x14ac:dyDescent="0.25">
      <c r="A146">
        <v>5176</v>
      </c>
      <c r="B146" s="10">
        <v>45659</v>
      </c>
      <c r="C146" s="10" t="str">
        <f t="shared" si="6"/>
        <v>Jan</v>
      </c>
      <c r="D146" t="s">
        <v>21</v>
      </c>
      <c r="E146" t="s">
        <v>20</v>
      </c>
      <c r="F146" t="s">
        <v>10</v>
      </c>
      <c r="G146" t="str">
        <f t="shared" si="7"/>
        <v>Fixed</v>
      </c>
      <c r="H146" s="12">
        <v>11078</v>
      </c>
      <c r="I146" t="s">
        <v>11</v>
      </c>
      <c r="J146" t="s">
        <v>12</v>
      </c>
      <c r="K146">
        <f t="shared" si="8"/>
        <v>1</v>
      </c>
    </row>
    <row r="147" spans="1:11" x14ac:dyDescent="0.25">
      <c r="A147">
        <v>5256</v>
      </c>
      <c r="B147" s="10">
        <v>45766</v>
      </c>
      <c r="C147" s="10" t="str">
        <f t="shared" si="6"/>
        <v>Apr</v>
      </c>
      <c r="D147" t="s">
        <v>23</v>
      </c>
      <c r="E147" t="s">
        <v>22</v>
      </c>
      <c r="F147" t="s">
        <v>18</v>
      </c>
      <c r="G147" t="str">
        <f t="shared" si="7"/>
        <v>Variable</v>
      </c>
      <c r="H147" s="12">
        <v>11027</v>
      </c>
      <c r="I147" t="s">
        <v>16</v>
      </c>
      <c r="J147" t="s">
        <v>17</v>
      </c>
      <c r="K147">
        <f t="shared" si="8"/>
        <v>0</v>
      </c>
    </row>
    <row r="148" spans="1:11" x14ac:dyDescent="0.25">
      <c r="A148">
        <v>5267</v>
      </c>
      <c r="B148" s="10">
        <v>45760</v>
      </c>
      <c r="C148" s="10" t="str">
        <f t="shared" si="6"/>
        <v>Apr</v>
      </c>
      <c r="D148" t="s">
        <v>21</v>
      </c>
      <c r="E148" t="s">
        <v>14</v>
      </c>
      <c r="F148" t="s">
        <v>27</v>
      </c>
      <c r="G148" t="str">
        <f t="shared" si="7"/>
        <v>Variable</v>
      </c>
      <c r="H148" s="12">
        <v>10959</v>
      </c>
      <c r="I148" t="s">
        <v>11</v>
      </c>
      <c r="J148" t="s">
        <v>17</v>
      </c>
      <c r="K148">
        <f t="shared" si="8"/>
        <v>0</v>
      </c>
    </row>
    <row r="149" spans="1:11" x14ac:dyDescent="0.25">
      <c r="A149">
        <v>5286</v>
      </c>
      <c r="B149" s="10">
        <v>45676</v>
      </c>
      <c r="C149" s="10" t="str">
        <f t="shared" si="6"/>
        <v>Jan</v>
      </c>
      <c r="D149" t="s">
        <v>25</v>
      </c>
      <c r="E149" t="s">
        <v>14</v>
      </c>
      <c r="F149" t="s">
        <v>10</v>
      </c>
      <c r="G149" t="str">
        <f t="shared" si="7"/>
        <v>Fixed</v>
      </c>
      <c r="H149" s="12">
        <v>10897</v>
      </c>
      <c r="I149" t="s">
        <v>16</v>
      </c>
      <c r="J149" t="s">
        <v>17</v>
      </c>
      <c r="K149">
        <f t="shared" si="8"/>
        <v>0</v>
      </c>
    </row>
    <row r="150" spans="1:11" x14ac:dyDescent="0.25">
      <c r="A150">
        <v>5196</v>
      </c>
      <c r="B150" s="10">
        <v>45660</v>
      </c>
      <c r="C150" s="10" t="str">
        <f t="shared" si="6"/>
        <v>Jan</v>
      </c>
      <c r="D150" t="s">
        <v>25</v>
      </c>
      <c r="E150" t="s">
        <v>20</v>
      </c>
      <c r="F150" t="s">
        <v>18</v>
      </c>
      <c r="G150" t="str">
        <f t="shared" si="7"/>
        <v>Variable</v>
      </c>
      <c r="H150" s="12">
        <v>10833</v>
      </c>
      <c r="I150" t="s">
        <v>11</v>
      </c>
      <c r="J150" t="s">
        <v>17</v>
      </c>
      <c r="K150">
        <f t="shared" si="8"/>
        <v>0</v>
      </c>
    </row>
    <row r="151" spans="1:11" x14ac:dyDescent="0.25">
      <c r="A151">
        <v>5153</v>
      </c>
      <c r="B151" s="10">
        <v>45661</v>
      </c>
      <c r="C151" s="10" t="str">
        <f t="shared" si="6"/>
        <v>Jan</v>
      </c>
      <c r="D151" t="s">
        <v>23</v>
      </c>
      <c r="E151" t="s">
        <v>20</v>
      </c>
      <c r="F151" t="s">
        <v>18</v>
      </c>
      <c r="G151" t="str">
        <f t="shared" si="7"/>
        <v>Variable</v>
      </c>
      <c r="H151" s="12">
        <v>10572</v>
      </c>
      <c r="I151" t="s">
        <v>16</v>
      </c>
      <c r="J151" t="s">
        <v>12</v>
      </c>
      <c r="K151">
        <f t="shared" si="8"/>
        <v>1</v>
      </c>
    </row>
    <row r="152" spans="1:11" x14ac:dyDescent="0.25">
      <c r="A152">
        <v>5059</v>
      </c>
      <c r="B152" s="10">
        <v>45761</v>
      </c>
      <c r="C152" s="10" t="str">
        <f t="shared" si="6"/>
        <v>Apr</v>
      </c>
      <c r="D152" t="s">
        <v>8</v>
      </c>
      <c r="E152" t="s">
        <v>14</v>
      </c>
      <c r="F152" t="s">
        <v>10</v>
      </c>
      <c r="G152" t="str">
        <f t="shared" si="7"/>
        <v>Fixed</v>
      </c>
      <c r="H152" s="12">
        <v>10491</v>
      </c>
      <c r="I152" t="s">
        <v>16</v>
      </c>
      <c r="J152" t="s">
        <v>17</v>
      </c>
      <c r="K152">
        <f t="shared" si="8"/>
        <v>0</v>
      </c>
    </row>
    <row r="153" spans="1:11" x14ac:dyDescent="0.25">
      <c r="A153">
        <v>5049</v>
      </c>
      <c r="B153" s="10">
        <v>45735</v>
      </c>
      <c r="C153" s="10" t="str">
        <f t="shared" si="6"/>
        <v>Mar</v>
      </c>
      <c r="D153" t="s">
        <v>25</v>
      </c>
      <c r="E153" t="s">
        <v>14</v>
      </c>
      <c r="F153" t="s">
        <v>10</v>
      </c>
      <c r="G153" t="str">
        <f t="shared" si="7"/>
        <v>Fixed</v>
      </c>
      <c r="H153" s="12">
        <v>10487</v>
      </c>
      <c r="I153" t="s">
        <v>16</v>
      </c>
      <c r="J153" t="s">
        <v>17</v>
      </c>
      <c r="K153">
        <f t="shared" si="8"/>
        <v>0</v>
      </c>
    </row>
    <row r="154" spans="1:11" x14ac:dyDescent="0.25">
      <c r="A154">
        <v>5073</v>
      </c>
      <c r="B154" s="10">
        <v>45766</v>
      </c>
      <c r="C154" s="10" t="str">
        <f t="shared" si="6"/>
        <v>Apr</v>
      </c>
      <c r="D154" t="s">
        <v>25</v>
      </c>
      <c r="E154" t="s">
        <v>20</v>
      </c>
      <c r="F154" t="s">
        <v>15</v>
      </c>
      <c r="G154" t="str">
        <f t="shared" si="7"/>
        <v>Variable</v>
      </c>
      <c r="H154" s="12">
        <v>10448</v>
      </c>
      <c r="I154" t="s">
        <v>11</v>
      </c>
      <c r="J154" t="s">
        <v>12</v>
      </c>
      <c r="K154">
        <f t="shared" si="8"/>
        <v>1</v>
      </c>
    </row>
    <row r="155" spans="1:11" x14ac:dyDescent="0.25">
      <c r="A155">
        <v>5221</v>
      </c>
      <c r="B155" s="10">
        <v>45658</v>
      </c>
      <c r="C155" s="10" t="str">
        <f t="shared" si="6"/>
        <v>Jan</v>
      </c>
      <c r="D155" t="s">
        <v>23</v>
      </c>
      <c r="E155" t="s">
        <v>9</v>
      </c>
      <c r="F155" t="s">
        <v>15</v>
      </c>
      <c r="G155" t="str">
        <f t="shared" si="7"/>
        <v>Variable</v>
      </c>
      <c r="H155" s="12">
        <v>10392</v>
      </c>
      <c r="I155" t="s">
        <v>11</v>
      </c>
      <c r="J155" t="s">
        <v>17</v>
      </c>
      <c r="K155">
        <f t="shared" si="8"/>
        <v>0</v>
      </c>
    </row>
    <row r="156" spans="1:11" x14ac:dyDescent="0.25">
      <c r="A156">
        <v>5033</v>
      </c>
      <c r="B156" s="10">
        <v>45683</v>
      </c>
      <c r="C156" s="10" t="str">
        <f t="shared" si="6"/>
        <v>Jan</v>
      </c>
      <c r="D156" t="s">
        <v>23</v>
      </c>
      <c r="E156" t="s">
        <v>22</v>
      </c>
      <c r="F156" t="s">
        <v>27</v>
      </c>
      <c r="G156" t="str">
        <f t="shared" si="7"/>
        <v>Variable</v>
      </c>
      <c r="H156" s="12">
        <v>10332</v>
      </c>
      <c r="I156" t="s">
        <v>19</v>
      </c>
      <c r="J156" t="s">
        <v>12</v>
      </c>
      <c r="K156">
        <f t="shared" si="8"/>
        <v>1</v>
      </c>
    </row>
    <row r="157" spans="1:11" x14ac:dyDescent="0.25">
      <c r="A157">
        <v>5169</v>
      </c>
      <c r="B157" s="10">
        <v>45696</v>
      </c>
      <c r="C157" s="10" t="str">
        <f t="shared" si="6"/>
        <v>Feb</v>
      </c>
      <c r="D157" t="s">
        <v>23</v>
      </c>
      <c r="E157" t="s">
        <v>14</v>
      </c>
      <c r="F157" t="s">
        <v>10</v>
      </c>
      <c r="G157" t="str">
        <f t="shared" si="7"/>
        <v>Fixed</v>
      </c>
      <c r="H157" s="12">
        <v>10319</v>
      </c>
      <c r="I157" t="s">
        <v>11</v>
      </c>
      <c r="J157" t="s">
        <v>17</v>
      </c>
      <c r="K157">
        <f t="shared" si="8"/>
        <v>0</v>
      </c>
    </row>
    <row r="158" spans="1:11" x14ac:dyDescent="0.25">
      <c r="A158">
        <v>5278</v>
      </c>
      <c r="B158" s="10">
        <v>45757</v>
      </c>
      <c r="C158" s="10" t="str">
        <f t="shared" si="6"/>
        <v>Apr</v>
      </c>
      <c r="D158" t="s">
        <v>23</v>
      </c>
      <c r="E158" t="s">
        <v>9</v>
      </c>
      <c r="F158" t="s">
        <v>26</v>
      </c>
      <c r="G158" t="str">
        <f t="shared" si="7"/>
        <v>Variable</v>
      </c>
      <c r="H158" s="12">
        <v>10308</v>
      </c>
      <c r="I158" t="s">
        <v>11</v>
      </c>
      <c r="J158" t="s">
        <v>12</v>
      </c>
      <c r="K158">
        <f t="shared" si="8"/>
        <v>1</v>
      </c>
    </row>
    <row r="159" spans="1:11" x14ac:dyDescent="0.25">
      <c r="A159">
        <v>5058</v>
      </c>
      <c r="B159" s="10">
        <v>45688</v>
      </c>
      <c r="C159" s="10" t="str">
        <f t="shared" si="6"/>
        <v>Jan</v>
      </c>
      <c r="D159" t="s">
        <v>23</v>
      </c>
      <c r="E159" t="s">
        <v>9</v>
      </c>
      <c r="F159" t="s">
        <v>18</v>
      </c>
      <c r="G159" t="str">
        <f t="shared" si="7"/>
        <v>Variable</v>
      </c>
      <c r="H159" s="12">
        <v>10264</v>
      </c>
      <c r="I159" t="s">
        <v>11</v>
      </c>
      <c r="J159" t="s">
        <v>17</v>
      </c>
      <c r="K159">
        <f t="shared" si="8"/>
        <v>0</v>
      </c>
    </row>
    <row r="160" spans="1:11" x14ac:dyDescent="0.25">
      <c r="A160">
        <v>5223</v>
      </c>
      <c r="B160" s="10">
        <v>45686</v>
      </c>
      <c r="C160" s="10" t="str">
        <f t="shared" si="6"/>
        <v>Jan</v>
      </c>
      <c r="D160" t="s">
        <v>21</v>
      </c>
      <c r="E160" t="s">
        <v>14</v>
      </c>
      <c r="F160" t="s">
        <v>27</v>
      </c>
      <c r="G160" t="str">
        <f t="shared" si="7"/>
        <v>Variable</v>
      </c>
      <c r="H160" s="12">
        <v>10214</v>
      </c>
      <c r="I160" t="s">
        <v>19</v>
      </c>
      <c r="J160" t="s">
        <v>17</v>
      </c>
      <c r="K160">
        <f t="shared" si="8"/>
        <v>0</v>
      </c>
    </row>
    <row r="161" spans="1:11" x14ac:dyDescent="0.25">
      <c r="A161">
        <v>5017</v>
      </c>
      <c r="B161" s="10">
        <v>45680</v>
      </c>
      <c r="C161" s="10" t="str">
        <f t="shared" si="6"/>
        <v>Jan</v>
      </c>
      <c r="D161" t="s">
        <v>25</v>
      </c>
      <c r="E161" t="s">
        <v>14</v>
      </c>
      <c r="F161" t="s">
        <v>18</v>
      </c>
      <c r="G161" t="str">
        <f t="shared" si="7"/>
        <v>Variable</v>
      </c>
      <c r="H161" s="12">
        <v>10029</v>
      </c>
      <c r="I161" t="s">
        <v>19</v>
      </c>
      <c r="J161" t="s">
        <v>12</v>
      </c>
      <c r="K161">
        <f t="shared" si="8"/>
        <v>1</v>
      </c>
    </row>
    <row r="162" spans="1:11" x14ac:dyDescent="0.25">
      <c r="A162">
        <v>5257</v>
      </c>
      <c r="B162" s="10">
        <v>45765</v>
      </c>
      <c r="C162" s="10" t="str">
        <f t="shared" si="6"/>
        <v>Apr</v>
      </c>
      <c r="D162" t="s">
        <v>13</v>
      </c>
      <c r="E162" t="s">
        <v>22</v>
      </c>
      <c r="F162" t="s">
        <v>24</v>
      </c>
      <c r="G162" t="str">
        <f t="shared" si="7"/>
        <v>Variable</v>
      </c>
      <c r="H162" s="12">
        <v>10016</v>
      </c>
      <c r="I162" t="s">
        <v>19</v>
      </c>
      <c r="J162" t="s">
        <v>12</v>
      </c>
      <c r="K162">
        <f t="shared" si="8"/>
        <v>1</v>
      </c>
    </row>
    <row r="163" spans="1:11" x14ac:dyDescent="0.25">
      <c r="A163">
        <v>5122</v>
      </c>
      <c r="B163" s="10">
        <v>45682</v>
      </c>
      <c r="C163" s="10" t="str">
        <f t="shared" si="6"/>
        <v>Jan</v>
      </c>
      <c r="D163" t="s">
        <v>21</v>
      </c>
      <c r="E163" t="s">
        <v>14</v>
      </c>
      <c r="F163" t="s">
        <v>27</v>
      </c>
      <c r="G163" t="str">
        <f t="shared" si="7"/>
        <v>Variable</v>
      </c>
      <c r="H163" s="12">
        <v>9829</v>
      </c>
      <c r="I163" t="s">
        <v>19</v>
      </c>
      <c r="J163" t="s">
        <v>17</v>
      </c>
      <c r="K163">
        <f t="shared" si="8"/>
        <v>0</v>
      </c>
    </row>
    <row r="164" spans="1:11" x14ac:dyDescent="0.25">
      <c r="A164">
        <v>5273</v>
      </c>
      <c r="B164" s="10">
        <v>45688</v>
      </c>
      <c r="C164" s="10" t="str">
        <f t="shared" si="6"/>
        <v>Jan</v>
      </c>
      <c r="D164" t="s">
        <v>25</v>
      </c>
      <c r="E164" t="s">
        <v>20</v>
      </c>
      <c r="F164" t="s">
        <v>15</v>
      </c>
      <c r="G164" t="str">
        <f t="shared" si="7"/>
        <v>Variable</v>
      </c>
      <c r="H164" s="12">
        <v>9631</v>
      </c>
      <c r="I164" t="s">
        <v>19</v>
      </c>
      <c r="J164" t="s">
        <v>17</v>
      </c>
      <c r="K164">
        <f t="shared" si="8"/>
        <v>0</v>
      </c>
    </row>
    <row r="165" spans="1:11" x14ac:dyDescent="0.25">
      <c r="A165">
        <v>5227</v>
      </c>
      <c r="B165" s="10">
        <v>45687</v>
      </c>
      <c r="C165" s="10" t="str">
        <f t="shared" si="6"/>
        <v>Jan</v>
      </c>
      <c r="D165" t="s">
        <v>8</v>
      </c>
      <c r="E165" t="s">
        <v>22</v>
      </c>
      <c r="F165" t="s">
        <v>26</v>
      </c>
      <c r="G165" t="str">
        <f t="shared" si="7"/>
        <v>Variable</v>
      </c>
      <c r="H165" s="12">
        <v>9599</v>
      </c>
      <c r="I165" t="s">
        <v>19</v>
      </c>
      <c r="J165" t="s">
        <v>12</v>
      </c>
      <c r="K165">
        <f t="shared" si="8"/>
        <v>1</v>
      </c>
    </row>
    <row r="166" spans="1:11" x14ac:dyDescent="0.25">
      <c r="A166">
        <v>5292</v>
      </c>
      <c r="B166" s="10">
        <v>45749</v>
      </c>
      <c r="C166" s="10" t="str">
        <f t="shared" si="6"/>
        <v>Apr</v>
      </c>
      <c r="D166" t="s">
        <v>8</v>
      </c>
      <c r="E166" t="s">
        <v>20</v>
      </c>
      <c r="F166" t="s">
        <v>18</v>
      </c>
      <c r="G166" t="str">
        <f t="shared" si="7"/>
        <v>Variable</v>
      </c>
      <c r="H166" s="12">
        <v>9595</v>
      </c>
      <c r="I166" t="s">
        <v>16</v>
      </c>
      <c r="J166" t="s">
        <v>17</v>
      </c>
      <c r="K166">
        <f t="shared" si="8"/>
        <v>0</v>
      </c>
    </row>
    <row r="167" spans="1:11" x14ac:dyDescent="0.25">
      <c r="A167">
        <v>5279</v>
      </c>
      <c r="B167" s="10">
        <v>45686</v>
      </c>
      <c r="C167" s="10" t="str">
        <f t="shared" si="6"/>
        <v>Jan</v>
      </c>
      <c r="D167" t="s">
        <v>25</v>
      </c>
      <c r="E167" t="s">
        <v>20</v>
      </c>
      <c r="F167" t="s">
        <v>27</v>
      </c>
      <c r="G167" t="str">
        <f t="shared" si="7"/>
        <v>Variable</v>
      </c>
      <c r="H167" s="12">
        <v>9369</v>
      </c>
      <c r="I167" t="s">
        <v>16</v>
      </c>
      <c r="J167" t="s">
        <v>17</v>
      </c>
      <c r="K167">
        <f t="shared" si="8"/>
        <v>0</v>
      </c>
    </row>
    <row r="168" spans="1:11" x14ac:dyDescent="0.25">
      <c r="A168">
        <v>5098</v>
      </c>
      <c r="B168" s="10">
        <v>45667</v>
      </c>
      <c r="C168" s="10" t="str">
        <f t="shared" si="6"/>
        <v>Jan</v>
      </c>
      <c r="D168" t="s">
        <v>13</v>
      </c>
      <c r="E168" t="s">
        <v>22</v>
      </c>
      <c r="F168" t="s">
        <v>15</v>
      </c>
      <c r="G168" t="str">
        <f t="shared" si="7"/>
        <v>Variable</v>
      </c>
      <c r="H168" s="12">
        <v>9142</v>
      </c>
      <c r="I168" t="s">
        <v>19</v>
      </c>
      <c r="J168" t="s">
        <v>12</v>
      </c>
      <c r="K168">
        <f t="shared" si="8"/>
        <v>1</v>
      </c>
    </row>
    <row r="169" spans="1:11" x14ac:dyDescent="0.25">
      <c r="A169">
        <v>5126</v>
      </c>
      <c r="B169" s="10">
        <v>45765</v>
      </c>
      <c r="C169" s="10" t="str">
        <f t="shared" si="6"/>
        <v>Apr</v>
      </c>
      <c r="D169" t="s">
        <v>13</v>
      </c>
      <c r="E169" t="s">
        <v>14</v>
      </c>
      <c r="F169" t="s">
        <v>24</v>
      </c>
      <c r="G169" t="str">
        <f t="shared" si="7"/>
        <v>Variable</v>
      </c>
      <c r="H169" s="12">
        <v>9083</v>
      </c>
      <c r="I169" t="s">
        <v>19</v>
      </c>
      <c r="J169" t="s">
        <v>12</v>
      </c>
      <c r="K169">
        <f t="shared" si="8"/>
        <v>1</v>
      </c>
    </row>
    <row r="170" spans="1:11" x14ac:dyDescent="0.25">
      <c r="A170">
        <v>5271</v>
      </c>
      <c r="B170" s="10">
        <v>45763</v>
      </c>
      <c r="C170" s="10" t="str">
        <f t="shared" si="6"/>
        <v>Apr</v>
      </c>
      <c r="D170" t="s">
        <v>21</v>
      </c>
      <c r="E170" t="s">
        <v>22</v>
      </c>
      <c r="F170" t="s">
        <v>15</v>
      </c>
      <c r="G170" t="str">
        <f t="shared" si="7"/>
        <v>Variable</v>
      </c>
      <c r="H170" s="12">
        <v>9026</v>
      </c>
      <c r="I170" t="s">
        <v>16</v>
      </c>
      <c r="J170" t="s">
        <v>12</v>
      </c>
      <c r="K170">
        <f t="shared" si="8"/>
        <v>1</v>
      </c>
    </row>
    <row r="171" spans="1:11" x14ac:dyDescent="0.25">
      <c r="A171">
        <v>5113</v>
      </c>
      <c r="B171" s="10">
        <v>45712</v>
      </c>
      <c r="C171" s="10" t="str">
        <f t="shared" si="6"/>
        <v>Feb</v>
      </c>
      <c r="D171" t="s">
        <v>8</v>
      </c>
      <c r="E171" t="s">
        <v>9</v>
      </c>
      <c r="F171" t="s">
        <v>24</v>
      </c>
      <c r="G171" t="str">
        <f t="shared" si="7"/>
        <v>Variable</v>
      </c>
      <c r="H171" s="12">
        <v>8945</v>
      </c>
      <c r="I171" t="s">
        <v>11</v>
      </c>
      <c r="J171" t="s">
        <v>12</v>
      </c>
      <c r="K171">
        <f t="shared" si="8"/>
        <v>1</v>
      </c>
    </row>
    <row r="172" spans="1:11" x14ac:dyDescent="0.25">
      <c r="A172">
        <v>5009</v>
      </c>
      <c r="B172" s="10">
        <v>45669</v>
      </c>
      <c r="C172" s="10" t="str">
        <f t="shared" si="6"/>
        <v>Jan</v>
      </c>
      <c r="D172" t="s">
        <v>25</v>
      </c>
      <c r="E172" t="s">
        <v>14</v>
      </c>
      <c r="F172" t="s">
        <v>27</v>
      </c>
      <c r="G172" t="str">
        <f t="shared" si="7"/>
        <v>Variable</v>
      </c>
      <c r="H172" s="12">
        <v>8944</v>
      </c>
      <c r="I172" t="s">
        <v>16</v>
      </c>
      <c r="J172" t="s">
        <v>12</v>
      </c>
      <c r="K172">
        <f t="shared" si="8"/>
        <v>1</v>
      </c>
    </row>
    <row r="173" spans="1:11" x14ac:dyDescent="0.25">
      <c r="A173">
        <v>5138</v>
      </c>
      <c r="B173" s="10">
        <v>45774</v>
      </c>
      <c r="C173" s="10" t="str">
        <f t="shared" si="6"/>
        <v>Apr</v>
      </c>
      <c r="D173" t="s">
        <v>25</v>
      </c>
      <c r="E173" t="s">
        <v>20</v>
      </c>
      <c r="F173" t="s">
        <v>15</v>
      </c>
      <c r="G173" t="str">
        <f t="shared" si="7"/>
        <v>Variable</v>
      </c>
      <c r="H173" s="12">
        <v>8837</v>
      </c>
      <c r="I173" t="s">
        <v>11</v>
      </c>
      <c r="J173" t="s">
        <v>17</v>
      </c>
      <c r="K173">
        <f t="shared" si="8"/>
        <v>0</v>
      </c>
    </row>
    <row r="174" spans="1:11" x14ac:dyDescent="0.25">
      <c r="A174">
        <v>5253</v>
      </c>
      <c r="B174" s="10">
        <v>45688</v>
      </c>
      <c r="C174" s="10" t="str">
        <f t="shared" si="6"/>
        <v>Jan</v>
      </c>
      <c r="D174" t="s">
        <v>21</v>
      </c>
      <c r="E174" t="s">
        <v>20</v>
      </c>
      <c r="F174" t="s">
        <v>27</v>
      </c>
      <c r="G174" t="str">
        <f t="shared" si="7"/>
        <v>Variable</v>
      </c>
      <c r="H174" s="12">
        <v>8836</v>
      </c>
      <c r="I174" t="s">
        <v>11</v>
      </c>
      <c r="J174" t="s">
        <v>12</v>
      </c>
      <c r="K174">
        <f t="shared" si="8"/>
        <v>1</v>
      </c>
    </row>
    <row r="175" spans="1:11" x14ac:dyDescent="0.25">
      <c r="A175">
        <v>5239</v>
      </c>
      <c r="B175" s="10">
        <v>45736</v>
      </c>
      <c r="C175" s="10" t="str">
        <f t="shared" si="6"/>
        <v>Mar</v>
      </c>
      <c r="D175" t="s">
        <v>23</v>
      </c>
      <c r="E175" t="s">
        <v>22</v>
      </c>
      <c r="F175" t="s">
        <v>18</v>
      </c>
      <c r="G175" t="str">
        <f t="shared" si="7"/>
        <v>Variable</v>
      </c>
      <c r="H175" s="12">
        <v>8686</v>
      </c>
      <c r="I175" t="s">
        <v>19</v>
      </c>
      <c r="J175" t="s">
        <v>17</v>
      </c>
      <c r="K175">
        <f t="shared" si="8"/>
        <v>0</v>
      </c>
    </row>
    <row r="176" spans="1:11" x14ac:dyDescent="0.25">
      <c r="A176">
        <v>5194</v>
      </c>
      <c r="B176" s="10">
        <v>45773</v>
      </c>
      <c r="C176" s="10" t="str">
        <f t="shared" si="6"/>
        <v>Apr</v>
      </c>
      <c r="D176" t="s">
        <v>13</v>
      </c>
      <c r="E176" t="s">
        <v>9</v>
      </c>
      <c r="F176" t="s">
        <v>10</v>
      </c>
      <c r="G176" t="str">
        <f t="shared" si="7"/>
        <v>Fixed</v>
      </c>
      <c r="H176" s="12">
        <v>8621</v>
      </c>
      <c r="I176" t="s">
        <v>19</v>
      </c>
      <c r="J176" t="s">
        <v>12</v>
      </c>
      <c r="K176">
        <f t="shared" si="8"/>
        <v>1</v>
      </c>
    </row>
    <row r="177" spans="1:11" x14ac:dyDescent="0.25">
      <c r="A177">
        <v>5178</v>
      </c>
      <c r="B177" s="10">
        <v>45684</v>
      </c>
      <c r="C177" s="10" t="str">
        <f t="shared" si="6"/>
        <v>Jan</v>
      </c>
      <c r="D177" t="s">
        <v>25</v>
      </c>
      <c r="E177" t="s">
        <v>14</v>
      </c>
      <c r="F177" t="s">
        <v>15</v>
      </c>
      <c r="G177" t="str">
        <f t="shared" si="7"/>
        <v>Variable</v>
      </c>
      <c r="H177" s="12">
        <v>8520</v>
      </c>
      <c r="I177" t="s">
        <v>11</v>
      </c>
      <c r="J177" t="s">
        <v>12</v>
      </c>
      <c r="K177">
        <f t="shared" si="8"/>
        <v>1</v>
      </c>
    </row>
    <row r="178" spans="1:11" x14ac:dyDescent="0.25">
      <c r="A178">
        <v>5260</v>
      </c>
      <c r="B178" s="10">
        <v>45677</v>
      </c>
      <c r="C178" s="10" t="str">
        <f t="shared" si="6"/>
        <v>Jan</v>
      </c>
      <c r="D178" t="s">
        <v>8</v>
      </c>
      <c r="E178" t="s">
        <v>22</v>
      </c>
      <c r="F178" t="s">
        <v>27</v>
      </c>
      <c r="G178" t="str">
        <f t="shared" si="7"/>
        <v>Variable</v>
      </c>
      <c r="H178" s="12">
        <v>8513</v>
      </c>
      <c r="I178" t="s">
        <v>11</v>
      </c>
      <c r="J178" t="s">
        <v>17</v>
      </c>
      <c r="K178">
        <f t="shared" si="8"/>
        <v>0</v>
      </c>
    </row>
    <row r="179" spans="1:11" x14ac:dyDescent="0.25">
      <c r="A179">
        <v>5285</v>
      </c>
      <c r="B179" s="10">
        <v>45704</v>
      </c>
      <c r="C179" s="10" t="str">
        <f t="shared" si="6"/>
        <v>Feb</v>
      </c>
      <c r="D179" t="s">
        <v>25</v>
      </c>
      <c r="E179" t="s">
        <v>14</v>
      </c>
      <c r="F179" t="s">
        <v>24</v>
      </c>
      <c r="G179" t="str">
        <f t="shared" si="7"/>
        <v>Variable</v>
      </c>
      <c r="H179" s="12">
        <v>8401</v>
      </c>
      <c r="I179" t="s">
        <v>19</v>
      </c>
      <c r="J179" t="s">
        <v>17</v>
      </c>
      <c r="K179">
        <f t="shared" si="8"/>
        <v>0</v>
      </c>
    </row>
    <row r="180" spans="1:11" x14ac:dyDescent="0.25">
      <c r="A180">
        <v>5089</v>
      </c>
      <c r="B180" s="10">
        <v>45719</v>
      </c>
      <c r="C180" s="10" t="str">
        <f t="shared" si="6"/>
        <v>Mar</v>
      </c>
      <c r="D180" t="s">
        <v>8</v>
      </c>
      <c r="E180" t="s">
        <v>20</v>
      </c>
      <c r="F180" t="s">
        <v>10</v>
      </c>
      <c r="G180" t="str">
        <f t="shared" si="7"/>
        <v>Fixed</v>
      </c>
      <c r="H180" s="12">
        <v>8397</v>
      </c>
      <c r="I180" t="s">
        <v>19</v>
      </c>
      <c r="J180" t="s">
        <v>12</v>
      </c>
      <c r="K180">
        <f t="shared" si="8"/>
        <v>1</v>
      </c>
    </row>
    <row r="181" spans="1:11" x14ac:dyDescent="0.25">
      <c r="A181">
        <v>5241</v>
      </c>
      <c r="B181" s="10">
        <v>45668</v>
      </c>
      <c r="C181" s="10" t="str">
        <f t="shared" si="6"/>
        <v>Jan</v>
      </c>
      <c r="D181" t="s">
        <v>21</v>
      </c>
      <c r="E181" t="s">
        <v>20</v>
      </c>
      <c r="F181" t="s">
        <v>24</v>
      </c>
      <c r="G181" t="str">
        <f t="shared" si="7"/>
        <v>Variable</v>
      </c>
      <c r="H181" s="12">
        <v>8380</v>
      </c>
      <c r="I181" t="s">
        <v>19</v>
      </c>
      <c r="J181" t="s">
        <v>17</v>
      </c>
      <c r="K181">
        <f t="shared" si="8"/>
        <v>0</v>
      </c>
    </row>
    <row r="182" spans="1:11" x14ac:dyDescent="0.25">
      <c r="A182">
        <v>5075</v>
      </c>
      <c r="B182" s="10">
        <v>45668</v>
      </c>
      <c r="C182" s="10" t="str">
        <f t="shared" si="6"/>
        <v>Jan</v>
      </c>
      <c r="D182" t="s">
        <v>13</v>
      </c>
      <c r="E182" t="s">
        <v>22</v>
      </c>
      <c r="F182" t="s">
        <v>26</v>
      </c>
      <c r="G182" t="str">
        <f t="shared" si="7"/>
        <v>Variable</v>
      </c>
      <c r="H182" s="12">
        <v>8362</v>
      </c>
      <c r="I182" t="s">
        <v>19</v>
      </c>
      <c r="J182" t="s">
        <v>12</v>
      </c>
      <c r="K182">
        <f t="shared" si="8"/>
        <v>1</v>
      </c>
    </row>
    <row r="183" spans="1:11" x14ac:dyDescent="0.25">
      <c r="A183">
        <v>5186</v>
      </c>
      <c r="B183" s="10">
        <v>45724</v>
      </c>
      <c r="C183" s="10" t="str">
        <f t="shared" si="6"/>
        <v>Mar</v>
      </c>
      <c r="D183" t="s">
        <v>13</v>
      </c>
      <c r="E183" t="s">
        <v>14</v>
      </c>
      <c r="F183" t="s">
        <v>18</v>
      </c>
      <c r="G183" t="str">
        <f t="shared" si="7"/>
        <v>Variable</v>
      </c>
      <c r="H183" s="12">
        <v>8302</v>
      </c>
      <c r="I183" t="s">
        <v>19</v>
      </c>
      <c r="J183" t="s">
        <v>17</v>
      </c>
      <c r="K183">
        <f t="shared" si="8"/>
        <v>0</v>
      </c>
    </row>
    <row r="184" spans="1:11" x14ac:dyDescent="0.25">
      <c r="A184">
        <v>5173</v>
      </c>
      <c r="B184" s="10">
        <v>45727</v>
      </c>
      <c r="C184" s="10" t="str">
        <f t="shared" si="6"/>
        <v>Mar</v>
      </c>
      <c r="D184" t="s">
        <v>13</v>
      </c>
      <c r="E184" t="s">
        <v>22</v>
      </c>
      <c r="F184" t="s">
        <v>26</v>
      </c>
      <c r="G184" t="str">
        <f t="shared" si="7"/>
        <v>Variable</v>
      </c>
      <c r="H184" s="12">
        <v>8253</v>
      </c>
      <c r="I184" t="s">
        <v>16</v>
      </c>
      <c r="J184" t="s">
        <v>12</v>
      </c>
      <c r="K184">
        <f t="shared" si="8"/>
        <v>1</v>
      </c>
    </row>
    <row r="185" spans="1:11" x14ac:dyDescent="0.25">
      <c r="A185">
        <v>5069</v>
      </c>
      <c r="B185" s="10">
        <v>45752</v>
      </c>
      <c r="C185" s="10" t="str">
        <f t="shared" si="6"/>
        <v>Apr</v>
      </c>
      <c r="D185" t="s">
        <v>13</v>
      </c>
      <c r="E185" t="s">
        <v>20</v>
      </c>
      <c r="F185" t="s">
        <v>18</v>
      </c>
      <c r="G185" t="str">
        <f t="shared" si="7"/>
        <v>Variable</v>
      </c>
      <c r="H185" s="12">
        <v>8240</v>
      </c>
      <c r="I185" t="s">
        <v>19</v>
      </c>
      <c r="J185" t="s">
        <v>12</v>
      </c>
      <c r="K185">
        <f t="shared" si="8"/>
        <v>1</v>
      </c>
    </row>
    <row r="186" spans="1:11" x14ac:dyDescent="0.25">
      <c r="A186">
        <v>5206</v>
      </c>
      <c r="B186" s="10">
        <v>45704</v>
      </c>
      <c r="C186" s="10" t="str">
        <f t="shared" si="6"/>
        <v>Feb</v>
      </c>
      <c r="D186" t="s">
        <v>25</v>
      </c>
      <c r="E186" t="s">
        <v>22</v>
      </c>
      <c r="F186" t="s">
        <v>26</v>
      </c>
      <c r="G186" t="str">
        <f t="shared" si="7"/>
        <v>Variable</v>
      </c>
      <c r="H186" s="12">
        <v>8028</v>
      </c>
      <c r="I186" t="s">
        <v>19</v>
      </c>
      <c r="J186" t="s">
        <v>17</v>
      </c>
      <c r="K186">
        <f t="shared" si="8"/>
        <v>0</v>
      </c>
    </row>
    <row r="187" spans="1:11" x14ac:dyDescent="0.25">
      <c r="A187">
        <v>5056</v>
      </c>
      <c r="B187" s="10">
        <v>45730</v>
      </c>
      <c r="C187" s="10" t="str">
        <f t="shared" si="6"/>
        <v>Mar</v>
      </c>
      <c r="D187" t="s">
        <v>13</v>
      </c>
      <c r="E187" t="s">
        <v>9</v>
      </c>
      <c r="F187" t="s">
        <v>27</v>
      </c>
      <c r="G187" t="str">
        <f t="shared" si="7"/>
        <v>Variable</v>
      </c>
      <c r="H187" s="12">
        <v>8000</v>
      </c>
      <c r="I187" t="s">
        <v>16</v>
      </c>
      <c r="J187" t="s">
        <v>17</v>
      </c>
      <c r="K187">
        <f t="shared" si="8"/>
        <v>0</v>
      </c>
    </row>
    <row r="188" spans="1:11" x14ac:dyDescent="0.25">
      <c r="A188">
        <v>5163</v>
      </c>
      <c r="B188" s="10">
        <v>45712</v>
      </c>
      <c r="C188" s="10" t="str">
        <f t="shared" si="6"/>
        <v>Feb</v>
      </c>
      <c r="D188" t="s">
        <v>25</v>
      </c>
      <c r="E188" t="s">
        <v>22</v>
      </c>
      <c r="F188" t="s">
        <v>27</v>
      </c>
      <c r="G188" t="str">
        <f t="shared" si="7"/>
        <v>Variable</v>
      </c>
      <c r="H188" s="12">
        <v>8000</v>
      </c>
      <c r="I188" t="s">
        <v>11</v>
      </c>
      <c r="J188" t="s">
        <v>17</v>
      </c>
      <c r="K188">
        <f t="shared" si="8"/>
        <v>0</v>
      </c>
    </row>
    <row r="189" spans="1:11" x14ac:dyDescent="0.25">
      <c r="A189">
        <v>5042</v>
      </c>
      <c r="B189" s="10">
        <v>45769</v>
      </c>
      <c r="C189" s="10" t="str">
        <f t="shared" si="6"/>
        <v>Apr</v>
      </c>
      <c r="D189" t="s">
        <v>13</v>
      </c>
      <c r="E189" t="s">
        <v>20</v>
      </c>
      <c r="F189" t="s">
        <v>15</v>
      </c>
      <c r="G189" t="str">
        <f t="shared" si="7"/>
        <v>Variable</v>
      </c>
      <c r="H189" s="12">
        <v>7755</v>
      </c>
      <c r="I189" t="s">
        <v>16</v>
      </c>
      <c r="J189" t="s">
        <v>12</v>
      </c>
      <c r="K189">
        <f t="shared" si="8"/>
        <v>1</v>
      </c>
    </row>
    <row r="190" spans="1:11" x14ac:dyDescent="0.25">
      <c r="A190">
        <v>5080</v>
      </c>
      <c r="B190" s="10">
        <v>45706</v>
      </c>
      <c r="C190" s="10" t="str">
        <f t="shared" si="6"/>
        <v>Feb</v>
      </c>
      <c r="D190" t="s">
        <v>8</v>
      </c>
      <c r="E190" t="s">
        <v>20</v>
      </c>
      <c r="F190" t="s">
        <v>27</v>
      </c>
      <c r="G190" t="str">
        <f t="shared" si="7"/>
        <v>Variable</v>
      </c>
      <c r="H190" s="12">
        <v>7683</v>
      </c>
      <c r="I190" t="s">
        <v>11</v>
      </c>
      <c r="J190" t="s">
        <v>12</v>
      </c>
      <c r="K190">
        <f t="shared" si="8"/>
        <v>1</v>
      </c>
    </row>
    <row r="191" spans="1:11" x14ac:dyDescent="0.25">
      <c r="A191">
        <v>5159</v>
      </c>
      <c r="B191" s="10">
        <v>45716</v>
      </c>
      <c r="C191" s="10" t="str">
        <f t="shared" si="6"/>
        <v>Feb</v>
      </c>
      <c r="D191" t="s">
        <v>25</v>
      </c>
      <c r="E191" t="s">
        <v>14</v>
      </c>
      <c r="F191" t="s">
        <v>24</v>
      </c>
      <c r="G191" t="str">
        <f t="shared" si="7"/>
        <v>Variable</v>
      </c>
      <c r="H191" s="12">
        <v>7625</v>
      </c>
      <c r="I191" t="s">
        <v>16</v>
      </c>
      <c r="J191" t="s">
        <v>17</v>
      </c>
      <c r="K191">
        <f t="shared" si="8"/>
        <v>0</v>
      </c>
    </row>
    <row r="192" spans="1:11" x14ac:dyDescent="0.25">
      <c r="A192">
        <v>5204</v>
      </c>
      <c r="B192" s="10">
        <v>45755</v>
      </c>
      <c r="C192" s="10" t="str">
        <f t="shared" si="6"/>
        <v>Apr</v>
      </c>
      <c r="D192" t="s">
        <v>25</v>
      </c>
      <c r="E192" t="s">
        <v>14</v>
      </c>
      <c r="F192" t="s">
        <v>15</v>
      </c>
      <c r="G192" t="str">
        <f t="shared" si="7"/>
        <v>Variable</v>
      </c>
      <c r="H192" s="12">
        <v>7578</v>
      </c>
      <c r="I192" t="s">
        <v>19</v>
      </c>
      <c r="J192" t="s">
        <v>12</v>
      </c>
      <c r="K192">
        <f t="shared" si="8"/>
        <v>1</v>
      </c>
    </row>
    <row r="193" spans="1:11" x14ac:dyDescent="0.25">
      <c r="A193">
        <v>5209</v>
      </c>
      <c r="B193" s="10">
        <v>45762</v>
      </c>
      <c r="C193" s="10" t="str">
        <f t="shared" si="6"/>
        <v>Apr</v>
      </c>
      <c r="D193" t="s">
        <v>21</v>
      </c>
      <c r="E193" t="s">
        <v>22</v>
      </c>
      <c r="F193" t="s">
        <v>18</v>
      </c>
      <c r="G193" t="str">
        <f t="shared" si="7"/>
        <v>Variable</v>
      </c>
      <c r="H193" s="12">
        <v>7561</v>
      </c>
      <c r="I193" t="s">
        <v>19</v>
      </c>
      <c r="J193" t="s">
        <v>17</v>
      </c>
      <c r="K193">
        <f t="shared" si="8"/>
        <v>0</v>
      </c>
    </row>
    <row r="194" spans="1:11" x14ac:dyDescent="0.25">
      <c r="A194">
        <v>5202</v>
      </c>
      <c r="B194" s="10">
        <v>45694</v>
      </c>
      <c r="C194" s="10" t="str">
        <f t="shared" ref="C194:C257" si="9">TEXT(B194,"MMM")</f>
        <v>Feb</v>
      </c>
      <c r="D194" t="s">
        <v>13</v>
      </c>
      <c r="E194" t="s">
        <v>20</v>
      </c>
      <c r="F194" t="s">
        <v>15</v>
      </c>
      <c r="G194" t="str">
        <f t="shared" ref="G194:G257" si="10">IF(F194="Salaries","Fixed","Variable")</f>
        <v>Variable</v>
      </c>
      <c r="H194" s="12">
        <v>7384</v>
      </c>
      <c r="I194" t="s">
        <v>11</v>
      </c>
      <c r="J194" t="s">
        <v>12</v>
      </c>
      <c r="K194">
        <f t="shared" ref="K194:K257" si="11">IF(J194="Yes",1,0)</f>
        <v>1</v>
      </c>
    </row>
    <row r="195" spans="1:11" x14ac:dyDescent="0.25">
      <c r="A195">
        <v>5219</v>
      </c>
      <c r="B195" s="10">
        <v>45690</v>
      </c>
      <c r="C195" s="10" t="str">
        <f t="shared" si="9"/>
        <v>Feb</v>
      </c>
      <c r="D195" t="s">
        <v>21</v>
      </c>
      <c r="E195" t="s">
        <v>20</v>
      </c>
      <c r="F195" t="s">
        <v>24</v>
      </c>
      <c r="G195" t="str">
        <f t="shared" si="10"/>
        <v>Variable</v>
      </c>
      <c r="H195" s="12">
        <v>7333</v>
      </c>
      <c r="I195" t="s">
        <v>16</v>
      </c>
      <c r="J195" t="s">
        <v>12</v>
      </c>
      <c r="K195">
        <f t="shared" si="11"/>
        <v>1</v>
      </c>
    </row>
    <row r="196" spans="1:11" x14ac:dyDescent="0.25">
      <c r="A196">
        <v>5018</v>
      </c>
      <c r="B196" s="10">
        <v>45659</v>
      </c>
      <c r="C196" s="10" t="str">
        <f t="shared" si="9"/>
        <v>Jan</v>
      </c>
      <c r="D196" t="s">
        <v>21</v>
      </c>
      <c r="E196" t="s">
        <v>14</v>
      </c>
      <c r="F196" t="s">
        <v>27</v>
      </c>
      <c r="G196" t="str">
        <f t="shared" si="10"/>
        <v>Variable</v>
      </c>
      <c r="H196" s="12">
        <v>7271</v>
      </c>
      <c r="I196" t="s">
        <v>16</v>
      </c>
      <c r="J196" t="s">
        <v>12</v>
      </c>
      <c r="K196">
        <f t="shared" si="11"/>
        <v>1</v>
      </c>
    </row>
    <row r="197" spans="1:11" x14ac:dyDescent="0.25">
      <c r="A197">
        <v>5199</v>
      </c>
      <c r="B197" s="10">
        <v>45730</v>
      </c>
      <c r="C197" s="10" t="str">
        <f t="shared" si="9"/>
        <v>Mar</v>
      </c>
      <c r="D197" t="s">
        <v>25</v>
      </c>
      <c r="E197" t="s">
        <v>9</v>
      </c>
      <c r="F197" t="s">
        <v>10</v>
      </c>
      <c r="G197" t="str">
        <f t="shared" si="10"/>
        <v>Fixed</v>
      </c>
      <c r="H197" s="12">
        <v>7184</v>
      </c>
      <c r="I197" t="s">
        <v>19</v>
      </c>
      <c r="J197" t="s">
        <v>17</v>
      </c>
      <c r="K197">
        <f t="shared" si="11"/>
        <v>0</v>
      </c>
    </row>
    <row r="198" spans="1:11" x14ac:dyDescent="0.25">
      <c r="A198">
        <v>5242</v>
      </c>
      <c r="B198" s="10">
        <v>45706</v>
      </c>
      <c r="C198" s="10" t="str">
        <f t="shared" si="9"/>
        <v>Feb</v>
      </c>
      <c r="D198" t="s">
        <v>8</v>
      </c>
      <c r="E198" t="s">
        <v>9</v>
      </c>
      <c r="F198" t="s">
        <v>26</v>
      </c>
      <c r="G198" t="str">
        <f t="shared" si="10"/>
        <v>Variable</v>
      </c>
      <c r="H198" s="12">
        <v>7145</v>
      </c>
      <c r="I198" t="s">
        <v>19</v>
      </c>
      <c r="J198" t="s">
        <v>12</v>
      </c>
      <c r="K198">
        <f t="shared" si="11"/>
        <v>1</v>
      </c>
    </row>
    <row r="199" spans="1:11" x14ac:dyDescent="0.25">
      <c r="A199">
        <v>5084</v>
      </c>
      <c r="B199" s="10">
        <v>45680</v>
      </c>
      <c r="C199" s="10" t="str">
        <f t="shared" si="9"/>
        <v>Jan</v>
      </c>
      <c r="D199" t="s">
        <v>23</v>
      </c>
      <c r="E199" t="s">
        <v>22</v>
      </c>
      <c r="F199" t="s">
        <v>24</v>
      </c>
      <c r="G199" t="str">
        <f t="shared" si="10"/>
        <v>Variable</v>
      </c>
      <c r="H199" s="12">
        <v>7129</v>
      </c>
      <c r="I199" t="s">
        <v>19</v>
      </c>
      <c r="J199" t="s">
        <v>12</v>
      </c>
      <c r="K199">
        <f t="shared" si="11"/>
        <v>1</v>
      </c>
    </row>
    <row r="200" spans="1:11" x14ac:dyDescent="0.25">
      <c r="A200">
        <v>5141</v>
      </c>
      <c r="B200" s="10">
        <v>45699</v>
      </c>
      <c r="C200" s="10" t="str">
        <f t="shared" si="9"/>
        <v>Feb</v>
      </c>
      <c r="D200" t="s">
        <v>21</v>
      </c>
      <c r="E200" t="s">
        <v>9</v>
      </c>
      <c r="F200" t="s">
        <v>18</v>
      </c>
      <c r="G200" t="str">
        <f t="shared" si="10"/>
        <v>Variable</v>
      </c>
      <c r="H200" s="12">
        <v>7102</v>
      </c>
      <c r="I200" t="s">
        <v>16</v>
      </c>
      <c r="J200" t="s">
        <v>17</v>
      </c>
      <c r="K200">
        <f t="shared" si="11"/>
        <v>0</v>
      </c>
    </row>
    <row r="201" spans="1:11" x14ac:dyDescent="0.25">
      <c r="A201">
        <v>5055</v>
      </c>
      <c r="B201" s="10">
        <v>45665</v>
      </c>
      <c r="C201" s="10" t="str">
        <f t="shared" si="9"/>
        <v>Jan</v>
      </c>
      <c r="D201" t="s">
        <v>21</v>
      </c>
      <c r="E201" t="s">
        <v>20</v>
      </c>
      <c r="F201" t="s">
        <v>24</v>
      </c>
      <c r="G201" t="str">
        <f t="shared" si="10"/>
        <v>Variable</v>
      </c>
      <c r="H201" s="12">
        <v>6721</v>
      </c>
      <c r="I201" t="s">
        <v>11</v>
      </c>
      <c r="J201" t="s">
        <v>12</v>
      </c>
      <c r="K201">
        <f t="shared" si="11"/>
        <v>1</v>
      </c>
    </row>
    <row r="202" spans="1:11" x14ac:dyDescent="0.25">
      <c r="A202">
        <v>5269</v>
      </c>
      <c r="B202" s="10">
        <v>45663</v>
      </c>
      <c r="C202" s="10" t="str">
        <f t="shared" si="9"/>
        <v>Jan</v>
      </c>
      <c r="D202" t="s">
        <v>13</v>
      </c>
      <c r="E202" t="s">
        <v>9</v>
      </c>
      <c r="F202" t="s">
        <v>24</v>
      </c>
      <c r="G202" t="str">
        <f t="shared" si="10"/>
        <v>Variable</v>
      </c>
      <c r="H202" s="12">
        <v>6651</v>
      </c>
      <c r="I202" t="s">
        <v>11</v>
      </c>
      <c r="J202" t="s">
        <v>12</v>
      </c>
      <c r="K202">
        <f t="shared" si="11"/>
        <v>1</v>
      </c>
    </row>
    <row r="203" spans="1:11" x14ac:dyDescent="0.25">
      <c r="A203">
        <v>5211</v>
      </c>
      <c r="B203" s="10">
        <v>45674</v>
      </c>
      <c r="C203" s="10" t="str">
        <f t="shared" si="9"/>
        <v>Jan</v>
      </c>
      <c r="D203" t="s">
        <v>21</v>
      </c>
      <c r="E203" t="s">
        <v>22</v>
      </c>
      <c r="F203" t="s">
        <v>26</v>
      </c>
      <c r="G203" t="str">
        <f t="shared" si="10"/>
        <v>Variable</v>
      </c>
      <c r="H203" s="12">
        <v>6608</v>
      </c>
      <c r="I203" t="s">
        <v>11</v>
      </c>
      <c r="J203" t="s">
        <v>12</v>
      </c>
      <c r="K203">
        <f t="shared" si="11"/>
        <v>1</v>
      </c>
    </row>
    <row r="204" spans="1:11" x14ac:dyDescent="0.25">
      <c r="A204">
        <v>5160</v>
      </c>
      <c r="B204" s="10">
        <v>45772</v>
      </c>
      <c r="C204" s="10" t="str">
        <f t="shared" si="9"/>
        <v>Apr</v>
      </c>
      <c r="D204" t="s">
        <v>25</v>
      </c>
      <c r="E204" t="s">
        <v>20</v>
      </c>
      <c r="F204" t="s">
        <v>26</v>
      </c>
      <c r="G204" t="str">
        <f t="shared" si="10"/>
        <v>Variable</v>
      </c>
      <c r="H204" s="12">
        <v>6545</v>
      </c>
      <c r="I204" t="s">
        <v>19</v>
      </c>
      <c r="J204" t="s">
        <v>12</v>
      </c>
      <c r="K204">
        <f t="shared" si="11"/>
        <v>1</v>
      </c>
    </row>
    <row r="205" spans="1:11" x14ac:dyDescent="0.25">
      <c r="A205">
        <v>5130</v>
      </c>
      <c r="B205" s="10">
        <v>45758</v>
      </c>
      <c r="C205" s="10" t="str">
        <f t="shared" si="9"/>
        <v>Apr</v>
      </c>
      <c r="D205" t="s">
        <v>8</v>
      </c>
      <c r="E205" t="s">
        <v>22</v>
      </c>
      <c r="F205" t="s">
        <v>27</v>
      </c>
      <c r="G205" t="str">
        <f t="shared" si="10"/>
        <v>Variable</v>
      </c>
      <c r="H205" s="12">
        <v>6535</v>
      </c>
      <c r="I205" t="s">
        <v>11</v>
      </c>
      <c r="J205" t="s">
        <v>12</v>
      </c>
      <c r="K205">
        <f t="shared" si="11"/>
        <v>1</v>
      </c>
    </row>
    <row r="206" spans="1:11" x14ac:dyDescent="0.25">
      <c r="A206">
        <v>5220</v>
      </c>
      <c r="B206" s="10">
        <v>45760</v>
      </c>
      <c r="C206" s="10" t="str">
        <f t="shared" si="9"/>
        <v>Apr</v>
      </c>
      <c r="D206" t="s">
        <v>8</v>
      </c>
      <c r="E206" t="s">
        <v>14</v>
      </c>
      <c r="F206" t="s">
        <v>27</v>
      </c>
      <c r="G206" t="str">
        <f t="shared" si="10"/>
        <v>Variable</v>
      </c>
      <c r="H206" s="12">
        <v>6510</v>
      </c>
      <c r="I206" t="s">
        <v>16</v>
      </c>
      <c r="J206" t="s">
        <v>17</v>
      </c>
      <c r="K206">
        <f t="shared" si="11"/>
        <v>0</v>
      </c>
    </row>
    <row r="207" spans="1:11" x14ac:dyDescent="0.25">
      <c r="A207">
        <v>5046</v>
      </c>
      <c r="B207" s="10">
        <v>45704</v>
      </c>
      <c r="C207" s="10" t="str">
        <f t="shared" si="9"/>
        <v>Feb</v>
      </c>
      <c r="D207" t="s">
        <v>21</v>
      </c>
      <c r="E207" t="s">
        <v>22</v>
      </c>
      <c r="F207" t="s">
        <v>18</v>
      </c>
      <c r="G207" t="str">
        <f t="shared" si="10"/>
        <v>Variable</v>
      </c>
      <c r="H207" s="12">
        <v>6348</v>
      </c>
      <c r="I207" t="s">
        <v>19</v>
      </c>
      <c r="J207" t="s">
        <v>12</v>
      </c>
      <c r="K207">
        <f t="shared" si="11"/>
        <v>1</v>
      </c>
    </row>
    <row r="208" spans="1:11" x14ac:dyDescent="0.25">
      <c r="A208">
        <v>5142</v>
      </c>
      <c r="B208" s="10">
        <v>45735</v>
      </c>
      <c r="C208" s="10" t="str">
        <f t="shared" si="9"/>
        <v>Mar</v>
      </c>
      <c r="D208" t="s">
        <v>25</v>
      </c>
      <c r="E208" t="s">
        <v>22</v>
      </c>
      <c r="F208" t="s">
        <v>10</v>
      </c>
      <c r="G208" t="str">
        <f t="shared" si="10"/>
        <v>Fixed</v>
      </c>
      <c r="H208" s="12">
        <v>6285</v>
      </c>
      <c r="I208" t="s">
        <v>19</v>
      </c>
      <c r="J208" t="s">
        <v>17</v>
      </c>
      <c r="K208">
        <f t="shared" si="11"/>
        <v>0</v>
      </c>
    </row>
    <row r="209" spans="1:11" x14ac:dyDescent="0.25">
      <c r="A209">
        <v>5118</v>
      </c>
      <c r="B209" s="10">
        <v>45666</v>
      </c>
      <c r="C209" s="10" t="str">
        <f t="shared" si="9"/>
        <v>Jan</v>
      </c>
      <c r="D209" t="s">
        <v>21</v>
      </c>
      <c r="E209" t="s">
        <v>9</v>
      </c>
      <c r="F209" t="s">
        <v>15</v>
      </c>
      <c r="G209" t="str">
        <f t="shared" si="10"/>
        <v>Variable</v>
      </c>
      <c r="H209" s="12">
        <v>6216</v>
      </c>
      <c r="I209" t="s">
        <v>11</v>
      </c>
      <c r="J209" t="s">
        <v>17</v>
      </c>
      <c r="K209">
        <f t="shared" si="11"/>
        <v>0</v>
      </c>
    </row>
    <row r="210" spans="1:11" x14ac:dyDescent="0.25">
      <c r="A210">
        <v>5266</v>
      </c>
      <c r="B210" s="10">
        <v>45663</v>
      </c>
      <c r="C210" s="10" t="str">
        <f t="shared" si="9"/>
        <v>Jan</v>
      </c>
      <c r="D210" t="s">
        <v>25</v>
      </c>
      <c r="E210" t="s">
        <v>20</v>
      </c>
      <c r="F210" t="s">
        <v>15</v>
      </c>
      <c r="G210" t="str">
        <f t="shared" si="10"/>
        <v>Variable</v>
      </c>
      <c r="H210" s="12">
        <v>6126</v>
      </c>
      <c r="I210" t="s">
        <v>16</v>
      </c>
      <c r="J210" t="s">
        <v>17</v>
      </c>
      <c r="K210">
        <f t="shared" si="11"/>
        <v>0</v>
      </c>
    </row>
    <row r="211" spans="1:11" x14ac:dyDescent="0.25">
      <c r="A211">
        <v>5104</v>
      </c>
      <c r="B211" s="10">
        <v>45698</v>
      </c>
      <c r="C211" s="10" t="str">
        <f t="shared" si="9"/>
        <v>Feb</v>
      </c>
      <c r="D211" t="s">
        <v>23</v>
      </c>
      <c r="E211" t="s">
        <v>20</v>
      </c>
      <c r="F211" t="s">
        <v>10</v>
      </c>
      <c r="G211" t="str">
        <f t="shared" si="10"/>
        <v>Fixed</v>
      </c>
      <c r="H211" s="12">
        <v>6082</v>
      </c>
      <c r="I211" t="s">
        <v>16</v>
      </c>
      <c r="J211" t="s">
        <v>17</v>
      </c>
      <c r="K211">
        <f t="shared" si="11"/>
        <v>0</v>
      </c>
    </row>
    <row r="212" spans="1:11" x14ac:dyDescent="0.25">
      <c r="A212">
        <v>5280</v>
      </c>
      <c r="B212" s="10">
        <v>45722</v>
      </c>
      <c r="C212" s="10" t="str">
        <f t="shared" si="9"/>
        <v>Mar</v>
      </c>
      <c r="D212" t="s">
        <v>13</v>
      </c>
      <c r="E212" t="s">
        <v>9</v>
      </c>
      <c r="F212" t="s">
        <v>18</v>
      </c>
      <c r="G212" t="str">
        <f t="shared" si="10"/>
        <v>Variable</v>
      </c>
      <c r="H212" s="12">
        <v>6041</v>
      </c>
      <c r="I212" t="s">
        <v>19</v>
      </c>
      <c r="J212" t="s">
        <v>12</v>
      </c>
      <c r="K212">
        <f t="shared" si="11"/>
        <v>1</v>
      </c>
    </row>
    <row r="213" spans="1:11" x14ac:dyDescent="0.25">
      <c r="A213">
        <v>5243</v>
      </c>
      <c r="B213" s="10">
        <v>45677</v>
      </c>
      <c r="C213" s="10" t="str">
        <f t="shared" si="9"/>
        <v>Jan</v>
      </c>
      <c r="D213" t="s">
        <v>23</v>
      </c>
      <c r="E213" t="s">
        <v>20</v>
      </c>
      <c r="F213" t="s">
        <v>24</v>
      </c>
      <c r="G213" t="str">
        <f t="shared" si="10"/>
        <v>Variable</v>
      </c>
      <c r="H213" s="12">
        <v>6016</v>
      </c>
      <c r="I213" t="s">
        <v>19</v>
      </c>
      <c r="J213" t="s">
        <v>17</v>
      </c>
      <c r="K213">
        <f t="shared" si="11"/>
        <v>0</v>
      </c>
    </row>
    <row r="214" spans="1:11" x14ac:dyDescent="0.25">
      <c r="A214">
        <v>5290</v>
      </c>
      <c r="B214" s="10">
        <v>45685</v>
      </c>
      <c r="C214" s="10" t="str">
        <f t="shared" si="9"/>
        <v>Jan</v>
      </c>
      <c r="D214" t="s">
        <v>13</v>
      </c>
      <c r="E214" t="s">
        <v>14</v>
      </c>
      <c r="F214" t="s">
        <v>27</v>
      </c>
      <c r="G214" t="str">
        <f t="shared" si="10"/>
        <v>Variable</v>
      </c>
      <c r="H214" s="12">
        <v>6016</v>
      </c>
      <c r="I214" t="s">
        <v>19</v>
      </c>
      <c r="J214" t="s">
        <v>17</v>
      </c>
      <c r="K214">
        <f t="shared" si="11"/>
        <v>0</v>
      </c>
    </row>
    <row r="215" spans="1:11" x14ac:dyDescent="0.25">
      <c r="A215">
        <v>5282</v>
      </c>
      <c r="B215" s="10">
        <v>45736</v>
      </c>
      <c r="C215" s="10" t="str">
        <f t="shared" si="9"/>
        <v>Mar</v>
      </c>
      <c r="D215" t="s">
        <v>21</v>
      </c>
      <c r="E215" t="s">
        <v>22</v>
      </c>
      <c r="F215" t="s">
        <v>24</v>
      </c>
      <c r="G215" t="str">
        <f t="shared" si="10"/>
        <v>Variable</v>
      </c>
      <c r="H215" s="12">
        <v>5979</v>
      </c>
      <c r="I215" t="s">
        <v>19</v>
      </c>
      <c r="J215" t="s">
        <v>12</v>
      </c>
      <c r="K215">
        <f t="shared" si="11"/>
        <v>1</v>
      </c>
    </row>
    <row r="216" spans="1:11" x14ac:dyDescent="0.25">
      <c r="A216">
        <v>5299</v>
      </c>
      <c r="B216" s="10">
        <v>45760</v>
      </c>
      <c r="C216" s="10" t="str">
        <f t="shared" si="9"/>
        <v>Apr</v>
      </c>
      <c r="D216" t="s">
        <v>23</v>
      </c>
      <c r="E216" t="s">
        <v>22</v>
      </c>
      <c r="F216" t="s">
        <v>26</v>
      </c>
      <c r="G216" t="str">
        <f t="shared" si="10"/>
        <v>Variable</v>
      </c>
      <c r="H216" s="12">
        <v>5905</v>
      </c>
      <c r="I216" t="s">
        <v>16</v>
      </c>
      <c r="J216" t="s">
        <v>12</v>
      </c>
      <c r="K216">
        <f t="shared" si="11"/>
        <v>1</v>
      </c>
    </row>
    <row r="217" spans="1:11" x14ac:dyDescent="0.25">
      <c r="A217">
        <v>5121</v>
      </c>
      <c r="B217" s="10">
        <v>45766</v>
      </c>
      <c r="C217" s="10" t="str">
        <f t="shared" si="9"/>
        <v>Apr</v>
      </c>
      <c r="D217" t="s">
        <v>25</v>
      </c>
      <c r="E217" t="s">
        <v>22</v>
      </c>
      <c r="F217" t="s">
        <v>26</v>
      </c>
      <c r="G217" t="str">
        <f t="shared" si="10"/>
        <v>Variable</v>
      </c>
      <c r="H217" s="12">
        <v>5831</v>
      </c>
      <c r="I217" t="s">
        <v>11</v>
      </c>
      <c r="J217" t="s">
        <v>17</v>
      </c>
      <c r="K217">
        <f t="shared" si="11"/>
        <v>0</v>
      </c>
    </row>
    <row r="218" spans="1:11" x14ac:dyDescent="0.25">
      <c r="A218">
        <v>5193</v>
      </c>
      <c r="B218" s="10">
        <v>45694</v>
      </c>
      <c r="C218" s="10" t="str">
        <f t="shared" si="9"/>
        <v>Feb</v>
      </c>
      <c r="D218" t="s">
        <v>25</v>
      </c>
      <c r="E218" t="s">
        <v>20</v>
      </c>
      <c r="F218" t="s">
        <v>24</v>
      </c>
      <c r="G218" t="str">
        <f t="shared" si="10"/>
        <v>Variable</v>
      </c>
      <c r="H218" s="12">
        <v>5778</v>
      </c>
      <c r="I218" t="s">
        <v>19</v>
      </c>
      <c r="J218" t="s">
        <v>12</v>
      </c>
      <c r="K218">
        <f t="shared" si="11"/>
        <v>1</v>
      </c>
    </row>
    <row r="219" spans="1:11" x14ac:dyDescent="0.25">
      <c r="A219">
        <v>5001</v>
      </c>
      <c r="B219" s="10">
        <v>45670</v>
      </c>
      <c r="C219" s="10" t="str">
        <f t="shared" si="9"/>
        <v>Jan</v>
      </c>
      <c r="D219" t="s">
        <v>13</v>
      </c>
      <c r="E219" t="s">
        <v>14</v>
      </c>
      <c r="F219" t="s">
        <v>15</v>
      </c>
      <c r="G219" t="str">
        <f t="shared" si="10"/>
        <v>Variable</v>
      </c>
      <c r="H219" s="12">
        <v>5692</v>
      </c>
      <c r="I219" t="s">
        <v>16</v>
      </c>
      <c r="J219" t="s">
        <v>17</v>
      </c>
      <c r="K219">
        <f t="shared" si="11"/>
        <v>0</v>
      </c>
    </row>
    <row r="220" spans="1:11" x14ac:dyDescent="0.25">
      <c r="A220">
        <v>5148</v>
      </c>
      <c r="B220" s="10">
        <v>45770</v>
      </c>
      <c r="C220" s="10" t="str">
        <f t="shared" si="9"/>
        <v>Apr</v>
      </c>
      <c r="D220" t="s">
        <v>25</v>
      </c>
      <c r="E220" t="s">
        <v>9</v>
      </c>
      <c r="F220" t="s">
        <v>26</v>
      </c>
      <c r="G220" t="str">
        <f t="shared" si="10"/>
        <v>Variable</v>
      </c>
      <c r="H220" s="12">
        <v>5671</v>
      </c>
      <c r="I220" t="s">
        <v>16</v>
      </c>
      <c r="J220" t="s">
        <v>17</v>
      </c>
      <c r="K220">
        <f t="shared" si="11"/>
        <v>0</v>
      </c>
    </row>
    <row r="221" spans="1:11" x14ac:dyDescent="0.25">
      <c r="A221">
        <v>5112</v>
      </c>
      <c r="B221" s="10">
        <v>45742</v>
      </c>
      <c r="C221" s="10" t="str">
        <f t="shared" si="9"/>
        <v>Mar</v>
      </c>
      <c r="D221" t="s">
        <v>21</v>
      </c>
      <c r="E221" t="s">
        <v>20</v>
      </c>
      <c r="F221" t="s">
        <v>27</v>
      </c>
      <c r="G221" t="str">
        <f t="shared" si="10"/>
        <v>Variable</v>
      </c>
      <c r="H221" s="12">
        <v>5668</v>
      </c>
      <c r="I221" t="s">
        <v>11</v>
      </c>
      <c r="J221" t="s">
        <v>12</v>
      </c>
      <c r="K221">
        <f t="shared" si="11"/>
        <v>1</v>
      </c>
    </row>
    <row r="222" spans="1:11" x14ac:dyDescent="0.25">
      <c r="A222">
        <v>5203</v>
      </c>
      <c r="B222" s="10">
        <v>45698</v>
      </c>
      <c r="C222" s="10" t="str">
        <f t="shared" si="9"/>
        <v>Feb</v>
      </c>
      <c r="D222" t="s">
        <v>13</v>
      </c>
      <c r="E222" t="s">
        <v>9</v>
      </c>
      <c r="F222" t="s">
        <v>15</v>
      </c>
      <c r="G222" t="str">
        <f t="shared" si="10"/>
        <v>Variable</v>
      </c>
      <c r="H222" s="12">
        <v>5638</v>
      </c>
      <c r="I222" t="s">
        <v>19</v>
      </c>
      <c r="J222" t="s">
        <v>17</v>
      </c>
      <c r="K222">
        <f t="shared" si="11"/>
        <v>0</v>
      </c>
    </row>
    <row r="223" spans="1:11" x14ac:dyDescent="0.25">
      <c r="A223">
        <v>5092</v>
      </c>
      <c r="B223" s="10">
        <v>45741</v>
      </c>
      <c r="C223" s="10" t="str">
        <f t="shared" si="9"/>
        <v>Mar</v>
      </c>
      <c r="D223" t="s">
        <v>13</v>
      </c>
      <c r="E223" t="s">
        <v>20</v>
      </c>
      <c r="F223" t="s">
        <v>24</v>
      </c>
      <c r="G223" t="str">
        <f t="shared" si="10"/>
        <v>Variable</v>
      </c>
      <c r="H223" s="12">
        <v>5506</v>
      </c>
      <c r="I223" t="s">
        <v>16</v>
      </c>
      <c r="J223" t="s">
        <v>17</v>
      </c>
      <c r="K223">
        <f t="shared" si="11"/>
        <v>0</v>
      </c>
    </row>
    <row r="224" spans="1:11" x14ac:dyDescent="0.25">
      <c r="A224">
        <v>5071</v>
      </c>
      <c r="B224" s="10">
        <v>45740</v>
      </c>
      <c r="C224" s="10" t="str">
        <f t="shared" si="9"/>
        <v>Mar</v>
      </c>
      <c r="D224" t="s">
        <v>8</v>
      </c>
      <c r="E224" t="s">
        <v>14</v>
      </c>
      <c r="F224" t="s">
        <v>24</v>
      </c>
      <c r="G224" t="str">
        <f t="shared" si="10"/>
        <v>Variable</v>
      </c>
      <c r="H224" s="12">
        <v>5479</v>
      </c>
      <c r="I224" t="s">
        <v>19</v>
      </c>
      <c r="J224" t="s">
        <v>12</v>
      </c>
      <c r="K224">
        <f t="shared" si="11"/>
        <v>1</v>
      </c>
    </row>
    <row r="225" spans="1:11" x14ac:dyDescent="0.25">
      <c r="A225">
        <v>5168</v>
      </c>
      <c r="B225" s="10">
        <v>45734</v>
      </c>
      <c r="C225" s="10" t="str">
        <f t="shared" si="9"/>
        <v>Mar</v>
      </c>
      <c r="D225" t="s">
        <v>25</v>
      </c>
      <c r="E225" t="s">
        <v>14</v>
      </c>
      <c r="F225" t="s">
        <v>10</v>
      </c>
      <c r="G225" t="str">
        <f t="shared" si="10"/>
        <v>Fixed</v>
      </c>
      <c r="H225" s="12">
        <v>5478</v>
      </c>
      <c r="I225" t="s">
        <v>16</v>
      </c>
      <c r="J225" t="s">
        <v>12</v>
      </c>
      <c r="K225">
        <f t="shared" si="11"/>
        <v>1</v>
      </c>
    </row>
    <row r="226" spans="1:11" x14ac:dyDescent="0.25">
      <c r="A226">
        <v>5191</v>
      </c>
      <c r="B226" s="10">
        <v>45734</v>
      </c>
      <c r="C226" s="10" t="str">
        <f t="shared" si="9"/>
        <v>Mar</v>
      </c>
      <c r="D226" t="s">
        <v>8</v>
      </c>
      <c r="E226" t="s">
        <v>20</v>
      </c>
      <c r="F226" t="s">
        <v>26</v>
      </c>
      <c r="G226" t="str">
        <f t="shared" si="10"/>
        <v>Variable</v>
      </c>
      <c r="H226" s="12">
        <v>5446</v>
      </c>
      <c r="I226" t="s">
        <v>11</v>
      </c>
      <c r="J226" t="s">
        <v>17</v>
      </c>
      <c r="K226">
        <f t="shared" si="11"/>
        <v>0</v>
      </c>
    </row>
    <row r="227" spans="1:11" x14ac:dyDescent="0.25">
      <c r="A227">
        <v>5276</v>
      </c>
      <c r="B227" s="10">
        <v>45725</v>
      </c>
      <c r="C227" s="10" t="str">
        <f t="shared" si="9"/>
        <v>Mar</v>
      </c>
      <c r="D227" t="s">
        <v>21</v>
      </c>
      <c r="E227" t="s">
        <v>22</v>
      </c>
      <c r="F227" t="s">
        <v>10</v>
      </c>
      <c r="G227" t="str">
        <f t="shared" si="10"/>
        <v>Fixed</v>
      </c>
      <c r="H227" s="12">
        <v>5418</v>
      </c>
      <c r="I227" t="s">
        <v>19</v>
      </c>
      <c r="J227" t="s">
        <v>17</v>
      </c>
      <c r="K227">
        <f t="shared" si="11"/>
        <v>0</v>
      </c>
    </row>
    <row r="228" spans="1:11" x14ac:dyDescent="0.25">
      <c r="A228">
        <v>5208</v>
      </c>
      <c r="B228" s="10">
        <v>45759</v>
      </c>
      <c r="C228" s="10" t="str">
        <f t="shared" si="9"/>
        <v>Apr</v>
      </c>
      <c r="D228" t="s">
        <v>8</v>
      </c>
      <c r="E228" t="s">
        <v>20</v>
      </c>
      <c r="F228" t="s">
        <v>10</v>
      </c>
      <c r="G228" t="str">
        <f t="shared" si="10"/>
        <v>Fixed</v>
      </c>
      <c r="H228" s="12">
        <v>5390</v>
      </c>
      <c r="I228" t="s">
        <v>11</v>
      </c>
      <c r="J228" t="s">
        <v>17</v>
      </c>
      <c r="K228">
        <f t="shared" si="11"/>
        <v>0</v>
      </c>
    </row>
    <row r="229" spans="1:11" x14ac:dyDescent="0.25">
      <c r="A229">
        <v>5166</v>
      </c>
      <c r="B229" s="10">
        <v>45729</v>
      </c>
      <c r="C229" s="10" t="str">
        <f t="shared" si="9"/>
        <v>Mar</v>
      </c>
      <c r="D229" t="s">
        <v>21</v>
      </c>
      <c r="E229" t="s">
        <v>14</v>
      </c>
      <c r="F229" t="s">
        <v>15</v>
      </c>
      <c r="G229" t="str">
        <f t="shared" si="10"/>
        <v>Variable</v>
      </c>
      <c r="H229" s="12">
        <v>5323</v>
      </c>
      <c r="I229" t="s">
        <v>19</v>
      </c>
      <c r="J229" t="s">
        <v>17</v>
      </c>
      <c r="K229">
        <f t="shared" si="11"/>
        <v>0</v>
      </c>
    </row>
    <row r="230" spans="1:11" x14ac:dyDescent="0.25">
      <c r="A230">
        <v>5047</v>
      </c>
      <c r="B230" s="10">
        <v>45681</v>
      </c>
      <c r="C230" s="10" t="str">
        <f t="shared" si="9"/>
        <v>Jan</v>
      </c>
      <c r="D230" t="s">
        <v>8</v>
      </c>
      <c r="E230" t="s">
        <v>14</v>
      </c>
      <c r="F230" t="s">
        <v>10</v>
      </c>
      <c r="G230" t="str">
        <f t="shared" si="10"/>
        <v>Fixed</v>
      </c>
      <c r="H230" s="12">
        <v>5291</v>
      </c>
      <c r="I230" t="s">
        <v>11</v>
      </c>
      <c r="J230" t="s">
        <v>12</v>
      </c>
      <c r="K230">
        <f t="shared" si="11"/>
        <v>1</v>
      </c>
    </row>
    <row r="231" spans="1:11" x14ac:dyDescent="0.25">
      <c r="A231">
        <v>5010</v>
      </c>
      <c r="B231" s="10">
        <v>45764</v>
      </c>
      <c r="C231" s="10" t="str">
        <f t="shared" si="9"/>
        <v>Apr</v>
      </c>
      <c r="D231" t="s">
        <v>25</v>
      </c>
      <c r="E231" t="s">
        <v>14</v>
      </c>
      <c r="F231" t="s">
        <v>27</v>
      </c>
      <c r="G231" t="str">
        <f t="shared" si="10"/>
        <v>Variable</v>
      </c>
      <c r="H231" s="12">
        <v>5264</v>
      </c>
      <c r="I231" t="s">
        <v>16</v>
      </c>
      <c r="J231" t="s">
        <v>12</v>
      </c>
      <c r="K231">
        <f t="shared" si="11"/>
        <v>1</v>
      </c>
    </row>
    <row r="232" spans="1:11" x14ac:dyDescent="0.25">
      <c r="A232">
        <v>5246</v>
      </c>
      <c r="B232" s="10">
        <v>45776</v>
      </c>
      <c r="C232" s="10" t="str">
        <f t="shared" si="9"/>
        <v>Apr</v>
      </c>
      <c r="D232" t="s">
        <v>25</v>
      </c>
      <c r="E232" t="s">
        <v>22</v>
      </c>
      <c r="F232" t="s">
        <v>24</v>
      </c>
      <c r="G232" t="str">
        <f t="shared" si="10"/>
        <v>Variable</v>
      </c>
      <c r="H232" s="12">
        <v>5263</v>
      </c>
      <c r="I232" t="s">
        <v>19</v>
      </c>
      <c r="J232" t="s">
        <v>17</v>
      </c>
      <c r="K232">
        <f t="shared" si="11"/>
        <v>0</v>
      </c>
    </row>
    <row r="233" spans="1:11" x14ac:dyDescent="0.25">
      <c r="A233">
        <v>5233</v>
      </c>
      <c r="B233" s="10">
        <v>45670</v>
      </c>
      <c r="C233" s="10" t="str">
        <f t="shared" si="9"/>
        <v>Jan</v>
      </c>
      <c r="D233" t="s">
        <v>8</v>
      </c>
      <c r="E233" t="s">
        <v>9</v>
      </c>
      <c r="F233" t="s">
        <v>24</v>
      </c>
      <c r="G233" t="str">
        <f t="shared" si="10"/>
        <v>Variable</v>
      </c>
      <c r="H233" s="12">
        <v>5253</v>
      </c>
      <c r="I233" t="s">
        <v>16</v>
      </c>
      <c r="J233" t="s">
        <v>12</v>
      </c>
      <c r="K233">
        <f t="shared" si="11"/>
        <v>1</v>
      </c>
    </row>
    <row r="234" spans="1:11" x14ac:dyDescent="0.25">
      <c r="A234">
        <v>5108</v>
      </c>
      <c r="B234" s="10">
        <v>45704</v>
      </c>
      <c r="C234" s="10" t="str">
        <f t="shared" si="9"/>
        <v>Feb</v>
      </c>
      <c r="D234" t="s">
        <v>13</v>
      </c>
      <c r="E234" t="s">
        <v>9</v>
      </c>
      <c r="F234" t="s">
        <v>27</v>
      </c>
      <c r="G234" t="str">
        <f t="shared" si="10"/>
        <v>Variable</v>
      </c>
      <c r="H234" s="12">
        <v>5009</v>
      </c>
      <c r="I234" t="s">
        <v>19</v>
      </c>
      <c r="J234" t="s">
        <v>17</v>
      </c>
      <c r="K234">
        <f t="shared" si="11"/>
        <v>0</v>
      </c>
    </row>
    <row r="235" spans="1:11" x14ac:dyDescent="0.25">
      <c r="A235">
        <v>5164</v>
      </c>
      <c r="B235" s="10">
        <v>45670</v>
      </c>
      <c r="C235" s="10" t="str">
        <f t="shared" si="9"/>
        <v>Jan</v>
      </c>
      <c r="D235" t="s">
        <v>21</v>
      </c>
      <c r="E235" t="s">
        <v>20</v>
      </c>
      <c r="F235" t="s">
        <v>26</v>
      </c>
      <c r="G235" t="str">
        <f t="shared" si="10"/>
        <v>Variable</v>
      </c>
      <c r="H235" s="12">
        <v>4972</v>
      </c>
      <c r="I235" t="s">
        <v>11</v>
      </c>
      <c r="J235" t="s">
        <v>17</v>
      </c>
      <c r="K235">
        <f t="shared" si="11"/>
        <v>0</v>
      </c>
    </row>
    <row r="236" spans="1:11" x14ac:dyDescent="0.25">
      <c r="A236">
        <v>5216</v>
      </c>
      <c r="B236" s="10">
        <v>45758</v>
      </c>
      <c r="C236" s="10" t="str">
        <f t="shared" si="9"/>
        <v>Apr</v>
      </c>
      <c r="D236" t="s">
        <v>13</v>
      </c>
      <c r="E236" t="s">
        <v>14</v>
      </c>
      <c r="F236" t="s">
        <v>18</v>
      </c>
      <c r="G236" t="str">
        <f t="shared" si="10"/>
        <v>Variable</v>
      </c>
      <c r="H236" s="12">
        <v>4939</v>
      </c>
      <c r="I236" t="s">
        <v>16</v>
      </c>
      <c r="J236" t="s">
        <v>17</v>
      </c>
      <c r="K236">
        <f t="shared" si="11"/>
        <v>0</v>
      </c>
    </row>
    <row r="237" spans="1:11" x14ac:dyDescent="0.25">
      <c r="A237">
        <v>5195</v>
      </c>
      <c r="B237" s="10">
        <v>45693</v>
      </c>
      <c r="C237" s="10" t="str">
        <f t="shared" si="9"/>
        <v>Feb</v>
      </c>
      <c r="D237" t="s">
        <v>8</v>
      </c>
      <c r="E237" t="s">
        <v>22</v>
      </c>
      <c r="F237" t="s">
        <v>10</v>
      </c>
      <c r="G237" t="str">
        <f t="shared" si="10"/>
        <v>Fixed</v>
      </c>
      <c r="H237" s="12">
        <v>4933</v>
      </c>
      <c r="I237" t="s">
        <v>16</v>
      </c>
      <c r="J237" t="s">
        <v>12</v>
      </c>
      <c r="K237">
        <f t="shared" si="11"/>
        <v>1</v>
      </c>
    </row>
    <row r="238" spans="1:11" x14ac:dyDescent="0.25">
      <c r="A238">
        <v>5268</v>
      </c>
      <c r="B238" s="10">
        <v>45775</v>
      </c>
      <c r="C238" s="10" t="str">
        <f t="shared" si="9"/>
        <v>Apr</v>
      </c>
      <c r="D238" t="s">
        <v>25</v>
      </c>
      <c r="E238" t="s">
        <v>22</v>
      </c>
      <c r="F238" t="s">
        <v>10</v>
      </c>
      <c r="G238" t="str">
        <f t="shared" si="10"/>
        <v>Fixed</v>
      </c>
      <c r="H238" s="12">
        <v>4793</v>
      </c>
      <c r="I238" t="s">
        <v>16</v>
      </c>
      <c r="J238" t="s">
        <v>17</v>
      </c>
      <c r="K238">
        <f t="shared" si="11"/>
        <v>0</v>
      </c>
    </row>
    <row r="239" spans="1:11" x14ac:dyDescent="0.25">
      <c r="A239">
        <v>5019</v>
      </c>
      <c r="B239" s="10">
        <v>45705</v>
      </c>
      <c r="C239" s="10" t="str">
        <f t="shared" si="9"/>
        <v>Feb</v>
      </c>
      <c r="D239" t="s">
        <v>13</v>
      </c>
      <c r="E239" t="s">
        <v>9</v>
      </c>
      <c r="F239" t="s">
        <v>27</v>
      </c>
      <c r="G239" t="str">
        <f t="shared" si="10"/>
        <v>Variable</v>
      </c>
      <c r="H239" s="12">
        <v>4574</v>
      </c>
      <c r="I239" t="s">
        <v>11</v>
      </c>
      <c r="J239" t="s">
        <v>12</v>
      </c>
      <c r="K239">
        <f t="shared" si="11"/>
        <v>1</v>
      </c>
    </row>
    <row r="240" spans="1:11" x14ac:dyDescent="0.25">
      <c r="A240">
        <v>5177</v>
      </c>
      <c r="B240" s="10">
        <v>45752</v>
      </c>
      <c r="C240" s="10" t="str">
        <f t="shared" si="9"/>
        <v>Apr</v>
      </c>
      <c r="D240" t="s">
        <v>25</v>
      </c>
      <c r="E240" t="s">
        <v>20</v>
      </c>
      <c r="F240" t="s">
        <v>18</v>
      </c>
      <c r="G240" t="str">
        <f t="shared" si="10"/>
        <v>Variable</v>
      </c>
      <c r="H240" s="12">
        <v>4564</v>
      </c>
      <c r="I240" t="s">
        <v>11</v>
      </c>
      <c r="J240" t="s">
        <v>12</v>
      </c>
      <c r="K240">
        <f t="shared" si="11"/>
        <v>1</v>
      </c>
    </row>
    <row r="241" spans="1:11" x14ac:dyDescent="0.25">
      <c r="A241">
        <v>5053</v>
      </c>
      <c r="B241" s="10">
        <v>45660</v>
      </c>
      <c r="C241" s="10" t="str">
        <f t="shared" si="9"/>
        <v>Jan</v>
      </c>
      <c r="D241" t="s">
        <v>23</v>
      </c>
      <c r="E241" t="s">
        <v>20</v>
      </c>
      <c r="F241" t="s">
        <v>27</v>
      </c>
      <c r="G241" t="str">
        <f t="shared" si="10"/>
        <v>Variable</v>
      </c>
      <c r="H241" s="12">
        <v>4559</v>
      </c>
      <c r="I241" t="s">
        <v>19</v>
      </c>
      <c r="J241" t="s">
        <v>12</v>
      </c>
      <c r="K241">
        <f t="shared" si="11"/>
        <v>1</v>
      </c>
    </row>
    <row r="242" spans="1:11" x14ac:dyDescent="0.25">
      <c r="A242">
        <v>5245</v>
      </c>
      <c r="B242" s="10">
        <v>45662</v>
      </c>
      <c r="C242" s="10" t="str">
        <f t="shared" si="9"/>
        <v>Jan</v>
      </c>
      <c r="D242" t="s">
        <v>25</v>
      </c>
      <c r="E242" t="s">
        <v>20</v>
      </c>
      <c r="F242" t="s">
        <v>10</v>
      </c>
      <c r="G242" t="str">
        <f t="shared" si="10"/>
        <v>Fixed</v>
      </c>
      <c r="H242" s="12">
        <v>4556</v>
      </c>
      <c r="I242" t="s">
        <v>19</v>
      </c>
      <c r="J242" t="s">
        <v>17</v>
      </c>
      <c r="K242">
        <f t="shared" si="11"/>
        <v>0</v>
      </c>
    </row>
    <row r="243" spans="1:11" x14ac:dyDescent="0.25">
      <c r="A243">
        <v>5043</v>
      </c>
      <c r="B243" s="10">
        <v>45683</v>
      </c>
      <c r="C243" s="10" t="str">
        <f t="shared" si="9"/>
        <v>Jan</v>
      </c>
      <c r="D243" t="s">
        <v>13</v>
      </c>
      <c r="E243" t="s">
        <v>9</v>
      </c>
      <c r="F243" t="s">
        <v>26</v>
      </c>
      <c r="G243" t="str">
        <f t="shared" si="10"/>
        <v>Variable</v>
      </c>
      <c r="H243" s="12">
        <v>4539</v>
      </c>
      <c r="I243" t="s">
        <v>16</v>
      </c>
      <c r="J243" t="s">
        <v>17</v>
      </c>
      <c r="K243">
        <f t="shared" si="11"/>
        <v>0</v>
      </c>
    </row>
    <row r="244" spans="1:11" x14ac:dyDescent="0.25">
      <c r="A244">
        <v>5275</v>
      </c>
      <c r="B244" s="10">
        <v>45725</v>
      </c>
      <c r="C244" s="10" t="str">
        <f t="shared" si="9"/>
        <v>Mar</v>
      </c>
      <c r="D244" t="s">
        <v>13</v>
      </c>
      <c r="E244" t="s">
        <v>20</v>
      </c>
      <c r="F244" t="s">
        <v>15</v>
      </c>
      <c r="G244" t="str">
        <f t="shared" si="10"/>
        <v>Variable</v>
      </c>
      <c r="H244" s="12">
        <v>4343</v>
      </c>
      <c r="I244" t="s">
        <v>16</v>
      </c>
      <c r="J244" t="s">
        <v>12</v>
      </c>
      <c r="K244">
        <f t="shared" si="11"/>
        <v>1</v>
      </c>
    </row>
    <row r="245" spans="1:11" x14ac:dyDescent="0.25">
      <c r="A245">
        <v>5215</v>
      </c>
      <c r="B245" s="10">
        <v>45754</v>
      </c>
      <c r="C245" s="10" t="str">
        <f t="shared" si="9"/>
        <v>Apr</v>
      </c>
      <c r="D245" t="s">
        <v>8</v>
      </c>
      <c r="E245" t="s">
        <v>20</v>
      </c>
      <c r="F245" t="s">
        <v>24</v>
      </c>
      <c r="G245" t="str">
        <f t="shared" si="10"/>
        <v>Variable</v>
      </c>
      <c r="H245" s="12">
        <v>4226</v>
      </c>
      <c r="I245" t="s">
        <v>11</v>
      </c>
      <c r="J245" t="s">
        <v>12</v>
      </c>
      <c r="K245">
        <f t="shared" si="11"/>
        <v>1</v>
      </c>
    </row>
    <row r="246" spans="1:11" x14ac:dyDescent="0.25">
      <c r="A246">
        <v>5094</v>
      </c>
      <c r="B246" s="10">
        <v>45774</v>
      </c>
      <c r="C246" s="10" t="str">
        <f t="shared" si="9"/>
        <v>Apr</v>
      </c>
      <c r="D246" t="s">
        <v>25</v>
      </c>
      <c r="E246" t="s">
        <v>9</v>
      </c>
      <c r="F246" t="s">
        <v>27</v>
      </c>
      <c r="G246" t="str">
        <f t="shared" si="10"/>
        <v>Variable</v>
      </c>
      <c r="H246" s="12">
        <v>4218</v>
      </c>
      <c r="I246" t="s">
        <v>19</v>
      </c>
      <c r="J246" t="s">
        <v>17</v>
      </c>
      <c r="K246">
        <f t="shared" si="11"/>
        <v>0</v>
      </c>
    </row>
    <row r="247" spans="1:11" x14ac:dyDescent="0.25">
      <c r="A247">
        <v>5151</v>
      </c>
      <c r="B247" s="10">
        <v>45721</v>
      </c>
      <c r="C247" s="10" t="str">
        <f t="shared" si="9"/>
        <v>Mar</v>
      </c>
      <c r="D247" t="s">
        <v>21</v>
      </c>
      <c r="E247" t="s">
        <v>14</v>
      </c>
      <c r="F247" t="s">
        <v>27</v>
      </c>
      <c r="G247" t="str">
        <f t="shared" si="10"/>
        <v>Variable</v>
      </c>
      <c r="H247" s="12">
        <v>4105</v>
      </c>
      <c r="I247" t="s">
        <v>11</v>
      </c>
      <c r="J247" t="s">
        <v>12</v>
      </c>
      <c r="K247">
        <f t="shared" si="11"/>
        <v>1</v>
      </c>
    </row>
    <row r="248" spans="1:11" x14ac:dyDescent="0.25">
      <c r="A248">
        <v>5296</v>
      </c>
      <c r="B248" s="10">
        <v>45680</v>
      </c>
      <c r="C248" s="10" t="str">
        <f t="shared" si="9"/>
        <v>Jan</v>
      </c>
      <c r="D248" t="s">
        <v>21</v>
      </c>
      <c r="E248" t="s">
        <v>9</v>
      </c>
      <c r="F248" t="s">
        <v>10</v>
      </c>
      <c r="G248" t="str">
        <f t="shared" si="10"/>
        <v>Fixed</v>
      </c>
      <c r="H248" s="12">
        <v>3978</v>
      </c>
      <c r="I248" t="s">
        <v>11</v>
      </c>
      <c r="J248" t="s">
        <v>17</v>
      </c>
      <c r="K248">
        <f t="shared" si="11"/>
        <v>0</v>
      </c>
    </row>
    <row r="249" spans="1:11" x14ac:dyDescent="0.25">
      <c r="A249">
        <v>5152</v>
      </c>
      <c r="B249" s="10">
        <v>45704</v>
      </c>
      <c r="C249" s="10" t="str">
        <f t="shared" si="9"/>
        <v>Feb</v>
      </c>
      <c r="D249" t="s">
        <v>8</v>
      </c>
      <c r="E249" t="s">
        <v>9</v>
      </c>
      <c r="F249" t="s">
        <v>10</v>
      </c>
      <c r="G249" t="str">
        <f t="shared" si="10"/>
        <v>Fixed</v>
      </c>
      <c r="H249" s="12">
        <v>3952</v>
      </c>
      <c r="I249" t="s">
        <v>19</v>
      </c>
      <c r="J249" t="s">
        <v>17</v>
      </c>
      <c r="K249">
        <f t="shared" si="11"/>
        <v>0</v>
      </c>
    </row>
    <row r="250" spans="1:11" x14ac:dyDescent="0.25">
      <c r="A250">
        <v>5036</v>
      </c>
      <c r="B250" s="10">
        <v>45681</v>
      </c>
      <c r="C250" s="10" t="str">
        <f t="shared" si="9"/>
        <v>Jan</v>
      </c>
      <c r="D250" t="s">
        <v>25</v>
      </c>
      <c r="E250" t="s">
        <v>20</v>
      </c>
      <c r="F250" t="s">
        <v>26</v>
      </c>
      <c r="G250" t="str">
        <f t="shared" si="10"/>
        <v>Variable</v>
      </c>
      <c r="H250" s="12">
        <v>3928</v>
      </c>
      <c r="I250" t="s">
        <v>19</v>
      </c>
      <c r="J250" t="s">
        <v>12</v>
      </c>
      <c r="K250">
        <f t="shared" si="11"/>
        <v>1</v>
      </c>
    </row>
    <row r="251" spans="1:11" x14ac:dyDescent="0.25">
      <c r="A251">
        <v>5090</v>
      </c>
      <c r="B251" s="10">
        <v>45679</v>
      </c>
      <c r="C251" s="10" t="str">
        <f t="shared" si="9"/>
        <v>Jan</v>
      </c>
      <c r="D251" t="s">
        <v>25</v>
      </c>
      <c r="E251" t="s">
        <v>14</v>
      </c>
      <c r="F251" t="s">
        <v>18</v>
      </c>
      <c r="G251" t="str">
        <f t="shared" si="10"/>
        <v>Variable</v>
      </c>
      <c r="H251" s="12">
        <v>3803</v>
      </c>
      <c r="I251" t="s">
        <v>16</v>
      </c>
      <c r="J251" t="s">
        <v>12</v>
      </c>
      <c r="K251">
        <f t="shared" si="11"/>
        <v>1</v>
      </c>
    </row>
    <row r="252" spans="1:11" x14ac:dyDescent="0.25">
      <c r="A252">
        <v>5167</v>
      </c>
      <c r="B252" s="10">
        <v>45697</v>
      </c>
      <c r="C252" s="10" t="str">
        <f t="shared" si="9"/>
        <v>Feb</v>
      </c>
      <c r="D252" t="s">
        <v>8</v>
      </c>
      <c r="E252" t="s">
        <v>14</v>
      </c>
      <c r="F252" t="s">
        <v>24</v>
      </c>
      <c r="G252" t="str">
        <f t="shared" si="10"/>
        <v>Variable</v>
      </c>
      <c r="H252" s="12">
        <v>3615</v>
      </c>
      <c r="I252" t="s">
        <v>19</v>
      </c>
      <c r="J252" t="s">
        <v>17</v>
      </c>
      <c r="K252">
        <f t="shared" si="11"/>
        <v>0</v>
      </c>
    </row>
    <row r="253" spans="1:11" x14ac:dyDescent="0.25">
      <c r="A253">
        <v>5263</v>
      </c>
      <c r="B253" s="10">
        <v>45760</v>
      </c>
      <c r="C253" s="10" t="str">
        <f t="shared" si="9"/>
        <v>Apr</v>
      </c>
      <c r="D253" t="s">
        <v>8</v>
      </c>
      <c r="E253" t="s">
        <v>14</v>
      </c>
      <c r="F253" t="s">
        <v>18</v>
      </c>
      <c r="G253" t="str">
        <f t="shared" si="10"/>
        <v>Variable</v>
      </c>
      <c r="H253" s="12">
        <v>3610</v>
      </c>
      <c r="I253" t="s">
        <v>16</v>
      </c>
      <c r="J253" t="s">
        <v>12</v>
      </c>
      <c r="K253">
        <f t="shared" si="11"/>
        <v>1</v>
      </c>
    </row>
    <row r="254" spans="1:11" x14ac:dyDescent="0.25">
      <c r="A254">
        <v>5252</v>
      </c>
      <c r="B254" s="10">
        <v>45732</v>
      </c>
      <c r="C254" s="10" t="str">
        <f t="shared" si="9"/>
        <v>Mar</v>
      </c>
      <c r="D254" t="s">
        <v>25</v>
      </c>
      <c r="E254" t="s">
        <v>14</v>
      </c>
      <c r="F254" t="s">
        <v>24</v>
      </c>
      <c r="G254" t="str">
        <f t="shared" si="10"/>
        <v>Variable</v>
      </c>
      <c r="H254" s="12">
        <v>3462</v>
      </c>
      <c r="I254" t="s">
        <v>16</v>
      </c>
      <c r="J254" t="s">
        <v>17</v>
      </c>
      <c r="K254">
        <f t="shared" si="11"/>
        <v>0</v>
      </c>
    </row>
    <row r="255" spans="1:11" x14ac:dyDescent="0.25">
      <c r="A255">
        <v>5188</v>
      </c>
      <c r="B255" s="10">
        <v>45753</v>
      </c>
      <c r="C255" s="10" t="str">
        <f t="shared" si="9"/>
        <v>Apr</v>
      </c>
      <c r="D255" t="s">
        <v>21</v>
      </c>
      <c r="E255" t="s">
        <v>22</v>
      </c>
      <c r="F255" t="s">
        <v>10</v>
      </c>
      <c r="G255" t="str">
        <f t="shared" si="10"/>
        <v>Fixed</v>
      </c>
      <c r="H255" s="12">
        <v>3453</v>
      </c>
      <c r="I255" t="s">
        <v>16</v>
      </c>
      <c r="J255" t="s">
        <v>17</v>
      </c>
      <c r="K255">
        <f t="shared" si="11"/>
        <v>0</v>
      </c>
    </row>
    <row r="256" spans="1:11" x14ac:dyDescent="0.25">
      <c r="A256">
        <v>5247</v>
      </c>
      <c r="B256" s="10">
        <v>45708</v>
      </c>
      <c r="C256" s="10" t="str">
        <f t="shared" si="9"/>
        <v>Feb</v>
      </c>
      <c r="D256" t="s">
        <v>13</v>
      </c>
      <c r="E256" t="s">
        <v>9</v>
      </c>
      <c r="F256" t="s">
        <v>18</v>
      </c>
      <c r="G256" t="str">
        <f t="shared" si="10"/>
        <v>Variable</v>
      </c>
      <c r="H256" s="12">
        <v>3384</v>
      </c>
      <c r="I256" t="s">
        <v>19</v>
      </c>
      <c r="J256" t="s">
        <v>17</v>
      </c>
      <c r="K256">
        <f t="shared" si="11"/>
        <v>0</v>
      </c>
    </row>
    <row r="257" spans="1:11" x14ac:dyDescent="0.25">
      <c r="A257">
        <v>5232</v>
      </c>
      <c r="B257" s="10">
        <v>45722</v>
      </c>
      <c r="C257" s="10" t="str">
        <f t="shared" si="9"/>
        <v>Mar</v>
      </c>
      <c r="D257" t="s">
        <v>25</v>
      </c>
      <c r="E257" t="s">
        <v>20</v>
      </c>
      <c r="F257" t="s">
        <v>10</v>
      </c>
      <c r="G257" t="str">
        <f t="shared" si="10"/>
        <v>Fixed</v>
      </c>
      <c r="H257" s="12">
        <v>3291</v>
      </c>
      <c r="I257" t="s">
        <v>19</v>
      </c>
      <c r="J257" t="s">
        <v>12</v>
      </c>
      <c r="K257">
        <f t="shared" si="11"/>
        <v>1</v>
      </c>
    </row>
    <row r="258" spans="1:11" x14ac:dyDescent="0.25">
      <c r="A258">
        <v>5027</v>
      </c>
      <c r="B258" s="10">
        <v>45738</v>
      </c>
      <c r="C258" s="10" t="str">
        <f t="shared" ref="C258:C301" si="12">TEXT(B258,"MMM")</f>
        <v>Mar</v>
      </c>
      <c r="D258" t="s">
        <v>25</v>
      </c>
      <c r="E258" t="s">
        <v>14</v>
      </c>
      <c r="F258" t="s">
        <v>26</v>
      </c>
      <c r="G258" t="str">
        <f t="shared" ref="G258:G301" si="13">IF(F258="Salaries","Fixed","Variable")</f>
        <v>Variable</v>
      </c>
      <c r="H258" s="12">
        <v>3169</v>
      </c>
      <c r="I258" t="s">
        <v>11</v>
      </c>
      <c r="J258" t="s">
        <v>12</v>
      </c>
      <c r="K258">
        <f t="shared" ref="K258:K301" si="14">IF(J258="Yes",1,0)</f>
        <v>1</v>
      </c>
    </row>
    <row r="259" spans="1:11" x14ac:dyDescent="0.25">
      <c r="A259">
        <v>5261</v>
      </c>
      <c r="B259" s="10">
        <v>45691</v>
      </c>
      <c r="C259" s="10" t="str">
        <f t="shared" si="12"/>
        <v>Feb</v>
      </c>
      <c r="D259" t="s">
        <v>23</v>
      </c>
      <c r="E259" t="s">
        <v>14</v>
      </c>
      <c r="F259" t="s">
        <v>15</v>
      </c>
      <c r="G259" t="str">
        <f t="shared" si="13"/>
        <v>Variable</v>
      </c>
      <c r="H259" s="12">
        <v>3099</v>
      </c>
      <c r="I259" t="s">
        <v>19</v>
      </c>
      <c r="J259" t="s">
        <v>17</v>
      </c>
      <c r="K259">
        <f t="shared" si="14"/>
        <v>0</v>
      </c>
    </row>
    <row r="260" spans="1:11" x14ac:dyDescent="0.25">
      <c r="A260">
        <v>5214</v>
      </c>
      <c r="B260" s="10">
        <v>45680</v>
      </c>
      <c r="C260" s="10" t="str">
        <f t="shared" si="12"/>
        <v>Jan</v>
      </c>
      <c r="D260" t="s">
        <v>8</v>
      </c>
      <c r="E260" t="s">
        <v>9</v>
      </c>
      <c r="F260" t="s">
        <v>10</v>
      </c>
      <c r="G260" t="str">
        <f t="shared" si="13"/>
        <v>Fixed</v>
      </c>
      <c r="H260" s="12">
        <v>3066</v>
      </c>
      <c r="I260" t="s">
        <v>11</v>
      </c>
      <c r="J260" t="s">
        <v>17</v>
      </c>
      <c r="K260">
        <f t="shared" si="14"/>
        <v>0</v>
      </c>
    </row>
    <row r="261" spans="1:11" x14ac:dyDescent="0.25">
      <c r="A261">
        <v>5207</v>
      </c>
      <c r="B261" s="10">
        <v>45747</v>
      </c>
      <c r="C261" s="10" t="str">
        <f t="shared" si="12"/>
        <v>Mar</v>
      </c>
      <c r="D261" t="s">
        <v>23</v>
      </c>
      <c r="E261" t="s">
        <v>14</v>
      </c>
      <c r="F261" t="s">
        <v>27</v>
      </c>
      <c r="G261" t="str">
        <f t="shared" si="13"/>
        <v>Variable</v>
      </c>
      <c r="H261" s="12">
        <v>3059</v>
      </c>
      <c r="I261" t="s">
        <v>16</v>
      </c>
      <c r="J261" t="s">
        <v>12</v>
      </c>
      <c r="K261">
        <f t="shared" si="14"/>
        <v>1</v>
      </c>
    </row>
    <row r="262" spans="1:11" x14ac:dyDescent="0.25">
      <c r="A262">
        <v>5205</v>
      </c>
      <c r="B262" s="10">
        <v>45721</v>
      </c>
      <c r="C262" s="10" t="str">
        <f t="shared" si="12"/>
        <v>Mar</v>
      </c>
      <c r="D262" t="s">
        <v>8</v>
      </c>
      <c r="E262" t="s">
        <v>14</v>
      </c>
      <c r="F262" t="s">
        <v>15</v>
      </c>
      <c r="G262" t="str">
        <f t="shared" si="13"/>
        <v>Variable</v>
      </c>
      <c r="H262" s="12">
        <v>3047</v>
      </c>
      <c r="I262" t="s">
        <v>16</v>
      </c>
      <c r="J262" t="s">
        <v>12</v>
      </c>
      <c r="K262">
        <f t="shared" si="14"/>
        <v>1</v>
      </c>
    </row>
    <row r="263" spans="1:11" x14ac:dyDescent="0.25">
      <c r="A263">
        <v>5184</v>
      </c>
      <c r="B263" s="10">
        <v>45719</v>
      </c>
      <c r="C263" s="10" t="str">
        <f t="shared" si="12"/>
        <v>Mar</v>
      </c>
      <c r="D263" t="s">
        <v>23</v>
      </c>
      <c r="E263" t="s">
        <v>20</v>
      </c>
      <c r="F263" t="s">
        <v>18</v>
      </c>
      <c r="G263" t="str">
        <f t="shared" si="13"/>
        <v>Variable</v>
      </c>
      <c r="H263" s="12">
        <v>3002</v>
      </c>
      <c r="I263" t="s">
        <v>11</v>
      </c>
      <c r="J263" t="s">
        <v>12</v>
      </c>
      <c r="K263">
        <f t="shared" si="14"/>
        <v>1</v>
      </c>
    </row>
    <row r="264" spans="1:11" x14ac:dyDescent="0.25">
      <c r="A264">
        <v>5143</v>
      </c>
      <c r="B264" s="10">
        <v>45760</v>
      </c>
      <c r="C264" s="10" t="str">
        <f t="shared" si="12"/>
        <v>Apr</v>
      </c>
      <c r="D264" t="s">
        <v>8</v>
      </c>
      <c r="E264" t="s">
        <v>14</v>
      </c>
      <c r="F264" t="s">
        <v>27</v>
      </c>
      <c r="G264" t="str">
        <f t="shared" si="13"/>
        <v>Variable</v>
      </c>
      <c r="H264" s="12">
        <v>2788</v>
      </c>
      <c r="I264" t="s">
        <v>19</v>
      </c>
      <c r="J264" t="s">
        <v>12</v>
      </c>
      <c r="K264">
        <f t="shared" si="14"/>
        <v>1</v>
      </c>
    </row>
    <row r="265" spans="1:11" x14ac:dyDescent="0.25">
      <c r="A265">
        <v>5072</v>
      </c>
      <c r="B265" s="10">
        <v>45755</v>
      </c>
      <c r="C265" s="10" t="str">
        <f t="shared" si="12"/>
        <v>Apr</v>
      </c>
      <c r="D265" t="s">
        <v>8</v>
      </c>
      <c r="E265" t="s">
        <v>9</v>
      </c>
      <c r="F265" t="s">
        <v>15</v>
      </c>
      <c r="G265" t="str">
        <f t="shared" si="13"/>
        <v>Variable</v>
      </c>
      <c r="H265" s="12">
        <v>2678</v>
      </c>
      <c r="I265" t="s">
        <v>11</v>
      </c>
      <c r="J265" t="s">
        <v>12</v>
      </c>
      <c r="K265">
        <f t="shared" si="14"/>
        <v>1</v>
      </c>
    </row>
    <row r="266" spans="1:11" x14ac:dyDescent="0.25">
      <c r="A266">
        <v>5123</v>
      </c>
      <c r="B266" s="10">
        <v>45764</v>
      </c>
      <c r="C266" s="10" t="str">
        <f t="shared" si="12"/>
        <v>Apr</v>
      </c>
      <c r="D266" t="s">
        <v>21</v>
      </c>
      <c r="E266" t="s">
        <v>22</v>
      </c>
      <c r="F266" t="s">
        <v>15</v>
      </c>
      <c r="G266" t="str">
        <f t="shared" si="13"/>
        <v>Variable</v>
      </c>
      <c r="H266" s="12">
        <v>2592</v>
      </c>
      <c r="I266" t="s">
        <v>19</v>
      </c>
      <c r="J266" t="s">
        <v>12</v>
      </c>
      <c r="K266">
        <f t="shared" si="14"/>
        <v>1</v>
      </c>
    </row>
    <row r="267" spans="1:11" x14ac:dyDescent="0.25">
      <c r="A267">
        <v>5085</v>
      </c>
      <c r="B267" s="10">
        <v>45671</v>
      </c>
      <c r="C267" s="10" t="str">
        <f t="shared" si="12"/>
        <v>Jan</v>
      </c>
      <c r="D267" t="s">
        <v>23</v>
      </c>
      <c r="E267" t="s">
        <v>9</v>
      </c>
      <c r="F267" t="s">
        <v>10</v>
      </c>
      <c r="G267" t="str">
        <f t="shared" si="13"/>
        <v>Fixed</v>
      </c>
      <c r="H267" s="12">
        <v>2533</v>
      </c>
      <c r="I267" t="s">
        <v>19</v>
      </c>
      <c r="J267" t="s">
        <v>17</v>
      </c>
      <c r="K267">
        <f t="shared" si="14"/>
        <v>0</v>
      </c>
    </row>
    <row r="268" spans="1:11" x14ac:dyDescent="0.25">
      <c r="A268">
        <v>5277</v>
      </c>
      <c r="B268" s="10">
        <v>45755</v>
      </c>
      <c r="C268" s="10" t="str">
        <f t="shared" si="12"/>
        <v>Apr</v>
      </c>
      <c r="D268" t="s">
        <v>13</v>
      </c>
      <c r="E268" t="s">
        <v>22</v>
      </c>
      <c r="F268" t="s">
        <v>15</v>
      </c>
      <c r="G268" t="str">
        <f t="shared" si="13"/>
        <v>Variable</v>
      </c>
      <c r="H268" s="12">
        <v>2483</v>
      </c>
      <c r="I268" t="s">
        <v>16</v>
      </c>
      <c r="J268" t="s">
        <v>17</v>
      </c>
      <c r="K268">
        <f t="shared" si="14"/>
        <v>0</v>
      </c>
    </row>
    <row r="269" spans="1:11" x14ac:dyDescent="0.25">
      <c r="A269">
        <v>5250</v>
      </c>
      <c r="B269" s="10">
        <v>45734</v>
      </c>
      <c r="C269" s="10" t="str">
        <f t="shared" si="12"/>
        <v>Mar</v>
      </c>
      <c r="D269" t="s">
        <v>25</v>
      </c>
      <c r="E269" t="s">
        <v>20</v>
      </c>
      <c r="F269" t="s">
        <v>24</v>
      </c>
      <c r="G269" t="str">
        <f t="shared" si="13"/>
        <v>Variable</v>
      </c>
      <c r="H269" s="12">
        <v>2388</v>
      </c>
      <c r="I269" t="s">
        <v>11</v>
      </c>
      <c r="J269" t="s">
        <v>17</v>
      </c>
      <c r="K269">
        <f t="shared" si="14"/>
        <v>0</v>
      </c>
    </row>
    <row r="270" spans="1:11" x14ac:dyDescent="0.25">
      <c r="A270">
        <v>5087</v>
      </c>
      <c r="B270" s="10">
        <v>45711</v>
      </c>
      <c r="C270" s="10" t="str">
        <f t="shared" si="12"/>
        <v>Feb</v>
      </c>
      <c r="D270" t="s">
        <v>25</v>
      </c>
      <c r="E270" t="s">
        <v>14</v>
      </c>
      <c r="F270" t="s">
        <v>15</v>
      </c>
      <c r="G270" t="str">
        <f t="shared" si="13"/>
        <v>Variable</v>
      </c>
      <c r="H270" s="12">
        <v>2376</v>
      </c>
      <c r="I270" t="s">
        <v>19</v>
      </c>
      <c r="J270" t="s">
        <v>17</v>
      </c>
      <c r="K270">
        <f t="shared" si="14"/>
        <v>0</v>
      </c>
    </row>
    <row r="271" spans="1:11" x14ac:dyDescent="0.25">
      <c r="A271">
        <v>5026</v>
      </c>
      <c r="B271" s="10">
        <v>45684</v>
      </c>
      <c r="C271" s="10" t="str">
        <f t="shared" si="12"/>
        <v>Jan</v>
      </c>
      <c r="D271" t="s">
        <v>23</v>
      </c>
      <c r="E271" t="s">
        <v>22</v>
      </c>
      <c r="F271" t="s">
        <v>26</v>
      </c>
      <c r="G271" t="str">
        <f t="shared" si="13"/>
        <v>Variable</v>
      </c>
      <c r="H271" s="12">
        <v>2344</v>
      </c>
      <c r="I271" t="s">
        <v>19</v>
      </c>
      <c r="J271" t="s">
        <v>17</v>
      </c>
      <c r="K271">
        <f t="shared" si="14"/>
        <v>0</v>
      </c>
    </row>
    <row r="272" spans="1:11" x14ac:dyDescent="0.25">
      <c r="A272">
        <v>5200</v>
      </c>
      <c r="B272" s="10">
        <v>45660</v>
      </c>
      <c r="C272" s="10" t="str">
        <f t="shared" si="12"/>
        <v>Jan</v>
      </c>
      <c r="D272" t="s">
        <v>25</v>
      </c>
      <c r="E272" t="s">
        <v>14</v>
      </c>
      <c r="F272" t="s">
        <v>10</v>
      </c>
      <c r="G272" t="str">
        <f t="shared" si="13"/>
        <v>Fixed</v>
      </c>
      <c r="H272" s="12">
        <v>2263</v>
      </c>
      <c r="I272" t="s">
        <v>16</v>
      </c>
      <c r="J272" t="s">
        <v>12</v>
      </c>
      <c r="K272">
        <f t="shared" si="14"/>
        <v>1</v>
      </c>
    </row>
    <row r="273" spans="1:11" x14ac:dyDescent="0.25">
      <c r="A273">
        <v>5248</v>
      </c>
      <c r="B273" s="10">
        <v>45661</v>
      </c>
      <c r="C273" s="10" t="str">
        <f t="shared" si="12"/>
        <v>Jan</v>
      </c>
      <c r="D273" t="s">
        <v>8</v>
      </c>
      <c r="E273" t="s">
        <v>20</v>
      </c>
      <c r="F273" t="s">
        <v>26</v>
      </c>
      <c r="G273" t="str">
        <f t="shared" si="13"/>
        <v>Variable</v>
      </c>
      <c r="H273" s="12">
        <v>2222</v>
      </c>
      <c r="I273" t="s">
        <v>11</v>
      </c>
      <c r="J273" t="s">
        <v>12</v>
      </c>
      <c r="K273">
        <f t="shared" si="14"/>
        <v>1</v>
      </c>
    </row>
    <row r="274" spans="1:11" x14ac:dyDescent="0.25">
      <c r="A274">
        <v>5124</v>
      </c>
      <c r="B274" s="10">
        <v>45673</v>
      </c>
      <c r="C274" s="10" t="str">
        <f t="shared" si="12"/>
        <v>Jan</v>
      </c>
      <c r="D274" t="s">
        <v>25</v>
      </c>
      <c r="E274" t="s">
        <v>22</v>
      </c>
      <c r="F274" t="s">
        <v>15</v>
      </c>
      <c r="G274" t="str">
        <f t="shared" si="13"/>
        <v>Variable</v>
      </c>
      <c r="H274" s="12">
        <v>2194</v>
      </c>
      <c r="I274" t="s">
        <v>11</v>
      </c>
      <c r="J274" t="s">
        <v>17</v>
      </c>
      <c r="K274">
        <f t="shared" si="14"/>
        <v>0</v>
      </c>
    </row>
    <row r="275" spans="1:11" x14ac:dyDescent="0.25">
      <c r="A275">
        <v>5041</v>
      </c>
      <c r="B275" s="10">
        <v>45681</v>
      </c>
      <c r="C275" s="10" t="str">
        <f t="shared" si="12"/>
        <v>Jan</v>
      </c>
      <c r="D275" t="s">
        <v>23</v>
      </c>
      <c r="E275" t="s">
        <v>20</v>
      </c>
      <c r="F275" t="s">
        <v>26</v>
      </c>
      <c r="G275" t="str">
        <f t="shared" si="13"/>
        <v>Variable</v>
      </c>
      <c r="H275" s="12">
        <v>2179</v>
      </c>
      <c r="I275" t="s">
        <v>16</v>
      </c>
      <c r="J275" t="s">
        <v>12</v>
      </c>
      <c r="K275">
        <f t="shared" si="14"/>
        <v>1</v>
      </c>
    </row>
    <row r="276" spans="1:11" x14ac:dyDescent="0.25">
      <c r="A276">
        <v>5025</v>
      </c>
      <c r="B276" s="10">
        <v>45771</v>
      </c>
      <c r="C276" s="10" t="str">
        <f t="shared" si="12"/>
        <v>Apr</v>
      </c>
      <c r="D276" t="s">
        <v>23</v>
      </c>
      <c r="E276" t="s">
        <v>20</v>
      </c>
      <c r="F276" t="s">
        <v>10</v>
      </c>
      <c r="G276" t="str">
        <f t="shared" si="13"/>
        <v>Fixed</v>
      </c>
      <c r="H276" s="12">
        <v>2112</v>
      </c>
      <c r="I276" t="s">
        <v>16</v>
      </c>
      <c r="J276" t="s">
        <v>17</v>
      </c>
      <c r="K276">
        <f t="shared" si="14"/>
        <v>0</v>
      </c>
    </row>
    <row r="277" spans="1:11" x14ac:dyDescent="0.25">
      <c r="A277">
        <v>5103</v>
      </c>
      <c r="B277" s="10">
        <v>45771</v>
      </c>
      <c r="C277" s="10" t="str">
        <f t="shared" si="12"/>
        <v>Apr</v>
      </c>
      <c r="D277" t="s">
        <v>23</v>
      </c>
      <c r="E277" t="s">
        <v>14</v>
      </c>
      <c r="F277" t="s">
        <v>15</v>
      </c>
      <c r="G277" t="str">
        <f t="shared" si="13"/>
        <v>Variable</v>
      </c>
      <c r="H277" s="12">
        <v>1985</v>
      </c>
      <c r="I277" t="s">
        <v>16</v>
      </c>
      <c r="J277" t="s">
        <v>12</v>
      </c>
      <c r="K277">
        <f t="shared" si="14"/>
        <v>1</v>
      </c>
    </row>
    <row r="278" spans="1:11" x14ac:dyDescent="0.25">
      <c r="A278">
        <v>5044</v>
      </c>
      <c r="B278" s="10">
        <v>45773</v>
      </c>
      <c r="C278" s="10" t="str">
        <f t="shared" si="12"/>
        <v>Apr</v>
      </c>
      <c r="D278" t="s">
        <v>21</v>
      </c>
      <c r="E278" t="s">
        <v>14</v>
      </c>
      <c r="F278" t="s">
        <v>10</v>
      </c>
      <c r="G278" t="str">
        <f t="shared" si="13"/>
        <v>Fixed</v>
      </c>
      <c r="H278" s="12">
        <v>1872</v>
      </c>
      <c r="I278" t="s">
        <v>19</v>
      </c>
      <c r="J278" t="s">
        <v>12</v>
      </c>
      <c r="K278">
        <f t="shared" si="14"/>
        <v>1</v>
      </c>
    </row>
    <row r="279" spans="1:11" x14ac:dyDescent="0.25">
      <c r="A279">
        <v>5023</v>
      </c>
      <c r="B279" s="10">
        <v>45707</v>
      </c>
      <c r="C279" s="10" t="str">
        <f t="shared" si="12"/>
        <v>Feb</v>
      </c>
      <c r="D279" t="s">
        <v>23</v>
      </c>
      <c r="E279" t="s">
        <v>20</v>
      </c>
      <c r="F279" t="s">
        <v>24</v>
      </c>
      <c r="G279" t="str">
        <f t="shared" si="13"/>
        <v>Variable</v>
      </c>
      <c r="H279" s="12">
        <v>1837</v>
      </c>
      <c r="I279" t="s">
        <v>11</v>
      </c>
      <c r="J279" t="s">
        <v>17</v>
      </c>
      <c r="K279">
        <f t="shared" si="14"/>
        <v>0</v>
      </c>
    </row>
    <row r="280" spans="1:11" x14ac:dyDescent="0.25">
      <c r="A280">
        <v>5032</v>
      </c>
      <c r="B280" s="10">
        <v>45665</v>
      </c>
      <c r="C280" s="10" t="str">
        <f t="shared" si="12"/>
        <v>Jan</v>
      </c>
      <c r="D280" t="s">
        <v>8</v>
      </c>
      <c r="E280" t="s">
        <v>22</v>
      </c>
      <c r="F280" t="s">
        <v>10</v>
      </c>
      <c r="G280" t="str">
        <f t="shared" si="13"/>
        <v>Fixed</v>
      </c>
      <c r="H280" s="12">
        <v>1806</v>
      </c>
      <c r="I280" t="s">
        <v>16</v>
      </c>
      <c r="J280" t="s">
        <v>12</v>
      </c>
      <c r="K280">
        <f t="shared" si="14"/>
        <v>1</v>
      </c>
    </row>
    <row r="281" spans="1:11" x14ac:dyDescent="0.25">
      <c r="A281">
        <v>5045</v>
      </c>
      <c r="B281" s="10">
        <v>45732</v>
      </c>
      <c r="C281" s="10" t="str">
        <f t="shared" si="12"/>
        <v>Mar</v>
      </c>
      <c r="D281" t="s">
        <v>21</v>
      </c>
      <c r="E281" t="s">
        <v>20</v>
      </c>
      <c r="F281" t="s">
        <v>26</v>
      </c>
      <c r="G281" t="str">
        <f t="shared" si="13"/>
        <v>Variable</v>
      </c>
      <c r="H281" s="12">
        <v>1714</v>
      </c>
      <c r="I281" t="s">
        <v>16</v>
      </c>
      <c r="J281" t="s">
        <v>12</v>
      </c>
      <c r="K281">
        <f t="shared" si="14"/>
        <v>1</v>
      </c>
    </row>
    <row r="282" spans="1:11" x14ac:dyDescent="0.25">
      <c r="A282">
        <v>5183</v>
      </c>
      <c r="B282" s="10">
        <v>45741</v>
      </c>
      <c r="C282" s="10" t="str">
        <f t="shared" si="12"/>
        <v>Mar</v>
      </c>
      <c r="D282" t="s">
        <v>25</v>
      </c>
      <c r="E282" t="s">
        <v>22</v>
      </c>
      <c r="F282" t="s">
        <v>27</v>
      </c>
      <c r="G282" t="str">
        <f t="shared" si="13"/>
        <v>Variable</v>
      </c>
      <c r="H282" s="12">
        <v>1700</v>
      </c>
      <c r="I282" t="s">
        <v>19</v>
      </c>
      <c r="J282" t="s">
        <v>17</v>
      </c>
      <c r="K282">
        <f t="shared" si="14"/>
        <v>0</v>
      </c>
    </row>
    <row r="283" spans="1:11" x14ac:dyDescent="0.25">
      <c r="A283">
        <v>5014</v>
      </c>
      <c r="B283" s="10">
        <v>45754</v>
      </c>
      <c r="C283" s="10" t="str">
        <f t="shared" si="12"/>
        <v>Apr</v>
      </c>
      <c r="D283" t="s">
        <v>25</v>
      </c>
      <c r="E283" t="s">
        <v>22</v>
      </c>
      <c r="F283" t="s">
        <v>27</v>
      </c>
      <c r="G283" t="str">
        <f t="shared" si="13"/>
        <v>Variable</v>
      </c>
      <c r="H283" s="12">
        <v>1610</v>
      </c>
      <c r="I283" t="s">
        <v>11</v>
      </c>
      <c r="J283" t="s">
        <v>12</v>
      </c>
      <c r="K283">
        <f t="shared" si="14"/>
        <v>1</v>
      </c>
    </row>
    <row r="284" spans="1:11" x14ac:dyDescent="0.25">
      <c r="A284">
        <v>5015</v>
      </c>
      <c r="B284" s="10">
        <v>45671</v>
      </c>
      <c r="C284" s="10" t="str">
        <f t="shared" si="12"/>
        <v>Jan</v>
      </c>
      <c r="D284" t="s">
        <v>13</v>
      </c>
      <c r="E284" t="s">
        <v>22</v>
      </c>
      <c r="F284" t="s">
        <v>15</v>
      </c>
      <c r="G284" t="str">
        <f t="shared" si="13"/>
        <v>Variable</v>
      </c>
      <c r="H284" s="12">
        <v>1531</v>
      </c>
      <c r="I284" t="s">
        <v>16</v>
      </c>
      <c r="J284" t="s">
        <v>12</v>
      </c>
      <c r="K284">
        <f t="shared" si="14"/>
        <v>1</v>
      </c>
    </row>
    <row r="285" spans="1:11" x14ac:dyDescent="0.25">
      <c r="A285">
        <v>5229</v>
      </c>
      <c r="B285" s="10">
        <v>45666</v>
      </c>
      <c r="C285" s="10" t="str">
        <f t="shared" si="12"/>
        <v>Jan</v>
      </c>
      <c r="D285" t="s">
        <v>25</v>
      </c>
      <c r="E285" t="s">
        <v>14</v>
      </c>
      <c r="F285" t="s">
        <v>10</v>
      </c>
      <c r="G285" t="str">
        <f t="shared" si="13"/>
        <v>Fixed</v>
      </c>
      <c r="H285" s="12">
        <v>1444</v>
      </c>
      <c r="I285" t="s">
        <v>16</v>
      </c>
      <c r="J285" t="s">
        <v>17</v>
      </c>
      <c r="K285">
        <f t="shared" si="14"/>
        <v>0</v>
      </c>
    </row>
    <row r="286" spans="1:11" x14ac:dyDescent="0.25">
      <c r="A286">
        <v>5231</v>
      </c>
      <c r="B286" s="10">
        <v>45724</v>
      </c>
      <c r="C286" s="10" t="str">
        <f t="shared" si="12"/>
        <v>Mar</v>
      </c>
      <c r="D286" t="s">
        <v>25</v>
      </c>
      <c r="E286" t="s">
        <v>14</v>
      </c>
      <c r="F286" t="s">
        <v>10</v>
      </c>
      <c r="G286" t="str">
        <f t="shared" si="13"/>
        <v>Fixed</v>
      </c>
      <c r="H286" s="12">
        <v>1232</v>
      </c>
      <c r="I286" t="s">
        <v>16</v>
      </c>
      <c r="J286" t="s">
        <v>12</v>
      </c>
      <c r="K286">
        <f t="shared" si="14"/>
        <v>1</v>
      </c>
    </row>
    <row r="287" spans="1:11" x14ac:dyDescent="0.25">
      <c r="A287">
        <v>5240</v>
      </c>
      <c r="B287" s="10">
        <v>45775</v>
      </c>
      <c r="C287" s="10" t="str">
        <f t="shared" si="12"/>
        <v>Apr</v>
      </c>
      <c r="D287" t="s">
        <v>8</v>
      </c>
      <c r="E287" t="s">
        <v>9</v>
      </c>
      <c r="F287" t="s">
        <v>26</v>
      </c>
      <c r="G287" t="str">
        <f t="shared" si="13"/>
        <v>Variable</v>
      </c>
      <c r="H287" s="12">
        <v>1221</v>
      </c>
      <c r="I287" t="s">
        <v>16</v>
      </c>
      <c r="J287" t="s">
        <v>17</v>
      </c>
      <c r="K287">
        <f t="shared" si="14"/>
        <v>0</v>
      </c>
    </row>
    <row r="288" spans="1:11" x14ac:dyDescent="0.25">
      <c r="A288">
        <v>5054</v>
      </c>
      <c r="B288" s="10">
        <v>45679</v>
      </c>
      <c r="C288" s="10" t="str">
        <f t="shared" si="12"/>
        <v>Jan</v>
      </c>
      <c r="D288" t="s">
        <v>21</v>
      </c>
      <c r="E288" t="s">
        <v>14</v>
      </c>
      <c r="F288" t="s">
        <v>18</v>
      </c>
      <c r="G288" t="str">
        <f t="shared" si="13"/>
        <v>Variable</v>
      </c>
      <c r="H288" s="12">
        <v>1215</v>
      </c>
      <c r="I288" t="s">
        <v>19</v>
      </c>
      <c r="J288" t="s">
        <v>12</v>
      </c>
      <c r="K288">
        <f t="shared" si="14"/>
        <v>1</v>
      </c>
    </row>
    <row r="289" spans="1:11" x14ac:dyDescent="0.25">
      <c r="A289">
        <v>5095</v>
      </c>
      <c r="B289" s="10">
        <v>45735</v>
      </c>
      <c r="C289" s="10" t="str">
        <f t="shared" si="12"/>
        <v>Mar</v>
      </c>
      <c r="D289" t="s">
        <v>25</v>
      </c>
      <c r="E289" t="s">
        <v>14</v>
      </c>
      <c r="F289" t="s">
        <v>15</v>
      </c>
      <c r="G289" t="str">
        <f t="shared" si="13"/>
        <v>Variable</v>
      </c>
      <c r="H289" s="12">
        <v>1196</v>
      </c>
      <c r="I289" t="s">
        <v>11</v>
      </c>
      <c r="J289" t="s">
        <v>17</v>
      </c>
      <c r="K289">
        <f t="shared" si="14"/>
        <v>0</v>
      </c>
    </row>
    <row r="290" spans="1:11" x14ac:dyDescent="0.25">
      <c r="A290">
        <v>5144</v>
      </c>
      <c r="B290" s="10">
        <v>45706</v>
      </c>
      <c r="C290" s="10" t="str">
        <f t="shared" si="12"/>
        <v>Feb</v>
      </c>
      <c r="D290" t="s">
        <v>21</v>
      </c>
      <c r="E290" t="s">
        <v>9</v>
      </c>
      <c r="F290" t="s">
        <v>15</v>
      </c>
      <c r="G290" t="str">
        <f t="shared" si="13"/>
        <v>Variable</v>
      </c>
      <c r="H290" s="12">
        <v>1190</v>
      </c>
      <c r="I290" t="s">
        <v>19</v>
      </c>
      <c r="J290" t="s">
        <v>12</v>
      </c>
      <c r="K290">
        <f t="shared" si="14"/>
        <v>1</v>
      </c>
    </row>
    <row r="291" spans="1:11" x14ac:dyDescent="0.25">
      <c r="A291">
        <v>5174</v>
      </c>
      <c r="B291" s="10">
        <v>45710</v>
      </c>
      <c r="C291" s="10" t="str">
        <f t="shared" si="12"/>
        <v>Feb</v>
      </c>
      <c r="D291" t="s">
        <v>25</v>
      </c>
      <c r="E291" t="s">
        <v>14</v>
      </c>
      <c r="F291" t="s">
        <v>27</v>
      </c>
      <c r="G291" t="str">
        <f t="shared" si="13"/>
        <v>Variable</v>
      </c>
      <c r="H291" s="12">
        <v>1101</v>
      </c>
      <c r="I291" t="s">
        <v>11</v>
      </c>
      <c r="J291" t="s">
        <v>17</v>
      </c>
      <c r="K291">
        <f t="shared" si="14"/>
        <v>0</v>
      </c>
    </row>
    <row r="292" spans="1:11" x14ac:dyDescent="0.25">
      <c r="A292">
        <v>5091</v>
      </c>
      <c r="B292" s="10">
        <v>45754</v>
      </c>
      <c r="C292" s="10" t="str">
        <f t="shared" si="12"/>
        <v>Apr</v>
      </c>
      <c r="D292" t="s">
        <v>8</v>
      </c>
      <c r="E292" t="s">
        <v>14</v>
      </c>
      <c r="F292" t="s">
        <v>15</v>
      </c>
      <c r="G292" t="str">
        <f t="shared" si="13"/>
        <v>Variable</v>
      </c>
      <c r="H292" s="12">
        <v>1005</v>
      </c>
      <c r="I292" t="s">
        <v>16</v>
      </c>
      <c r="J292" t="s">
        <v>12</v>
      </c>
      <c r="K292">
        <f t="shared" si="14"/>
        <v>1</v>
      </c>
    </row>
    <row r="293" spans="1:11" x14ac:dyDescent="0.25">
      <c r="A293">
        <v>5281</v>
      </c>
      <c r="B293" s="10">
        <v>45751</v>
      </c>
      <c r="C293" s="10" t="str">
        <f t="shared" si="12"/>
        <v>Apr</v>
      </c>
      <c r="D293" t="s">
        <v>13</v>
      </c>
      <c r="E293" t="s">
        <v>20</v>
      </c>
      <c r="F293" t="s">
        <v>27</v>
      </c>
      <c r="G293" t="str">
        <f t="shared" si="13"/>
        <v>Variable</v>
      </c>
      <c r="H293" s="12">
        <v>902</v>
      </c>
      <c r="I293" t="s">
        <v>11</v>
      </c>
      <c r="J293" t="s">
        <v>17</v>
      </c>
      <c r="K293">
        <f t="shared" si="14"/>
        <v>0</v>
      </c>
    </row>
    <row r="294" spans="1:11" x14ac:dyDescent="0.25">
      <c r="A294">
        <v>5218</v>
      </c>
      <c r="B294" s="10">
        <v>45721</v>
      </c>
      <c r="C294" s="10" t="str">
        <f t="shared" si="12"/>
        <v>Mar</v>
      </c>
      <c r="D294" t="s">
        <v>25</v>
      </c>
      <c r="E294" t="s">
        <v>20</v>
      </c>
      <c r="F294" t="s">
        <v>15</v>
      </c>
      <c r="G294" t="str">
        <f t="shared" si="13"/>
        <v>Variable</v>
      </c>
      <c r="H294" s="12">
        <v>879</v>
      </c>
      <c r="I294" t="s">
        <v>11</v>
      </c>
      <c r="J294" t="s">
        <v>17</v>
      </c>
      <c r="K294">
        <f t="shared" si="14"/>
        <v>0</v>
      </c>
    </row>
    <row r="295" spans="1:11" x14ac:dyDescent="0.25">
      <c r="A295">
        <v>5238</v>
      </c>
      <c r="B295" s="10">
        <v>45744</v>
      </c>
      <c r="C295" s="10" t="str">
        <f t="shared" si="12"/>
        <v>Mar</v>
      </c>
      <c r="D295" t="s">
        <v>13</v>
      </c>
      <c r="E295" t="s">
        <v>14</v>
      </c>
      <c r="F295" t="s">
        <v>18</v>
      </c>
      <c r="G295" t="str">
        <f t="shared" si="13"/>
        <v>Variable</v>
      </c>
      <c r="H295" s="12">
        <v>812</v>
      </c>
      <c r="I295" t="s">
        <v>16</v>
      </c>
      <c r="J295" t="s">
        <v>12</v>
      </c>
      <c r="K295">
        <f t="shared" si="14"/>
        <v>1</v>
      </c>
    </row>
    <row r="296" spans="1:11" x14ac:dyDescent="0.25">
      <c r="A296">
        <v>5000</v>
      </c>
      <c r="B296" s="10">
        <v>45695</v>
      </c>
      <c r="C296" s="10" t="str">
        <f t="shared" si="12"/>
        <v>Feb</v>
      </c>
      <c r="D296" t="s">
        <v>8</v>
      </c>
      <c r="E296" t="s">
        <v>9</v>
      </c>
      <c r="F296" t="s">
        <v>10</v>
      </c>
      <c r="G296" t="str">
        <f t="shared" si="13"/>
        <v>Fixed</v>
      </c>
      <c r="H296" s="12">
        <v>735</v>
      </c>
      <c r="I296" t="s">
        <v>11</v>
      </c>
      <c r="J296" t="s">
        <v>12</v>
      </c>
      <c r="K296">
        <f t="shared" si="14"/>
        <v>1</v>
      </c>
    </row>
    <row r="297" spans="1:11" x14ac:dyDescent="0.25">
      <c r="A297">
        <v>5004</v>
      </c>
      <c r="B297" s="10">
        <v>45722</v>
      </c>
      <c r="C297" s="10" t="str">
        <f t="shared" si="12"/>
        <v>Mar</v>
      </c>
      <c r="D297" t="s">
        <v>21</v>
      </c>
      <c r="E297" t="s">
        <v>22</v>
      </c>
      <c r="F297" t="s">
        <v>10</v>
      </c>
      <c r="G297" t="str">
        <f t="shared" si="13"/>
        <v>Fixed</v>
      </c>
      <c r="H297" s="12">
        <v>644</v>
      </c>
      <c r="I297" t="s">
        <v>19</v>
      </c>
      <c r="J297" t="s">
        <v>17</v>
      </c>
      <c r="K297">
        <f t="shared" si="14"/>
        <v>0</v>
      </c>
    </row>
    <row r="298" spans="1:11" x14ac:dyDescent="0.25">
      <c r="A298">
        <v>5291</v>
      </c>
      <c r="B298" s="10">
        <v>45675</v>
      </c>
      <c r="C298" s="10" t="str">
        <f t="shared" si="12"/>
        <v>Jan</v>
      </c>
      <c r="D298" t="s">
        <v>8</v>
      </c>
      <c r="E298" t="s">
        <v>14</v>
      </c>
      <c r="F298" t="s">
        <v>24</v>
      </c>
      <c r="G298" t="str">
        <f t="shared" si="13"/>
        <v>Variable</v>
      </c>
      <c r="H298" s="12">
        <v>571</v>
      </c>
      <c r="I298" t="s">
        <v>16</v>
      </c>
      <c r="J298" t="s">
        <v>12</v>
      </c>
      <c r="K298">
        <f t="shared" si="14"/>
        <v>1</v>
      </c>
    </row>
    <row r="299" spans="1:11" x14ac:dyDescent="0.25">
      <c r="A299">
        <v>5237</v>
      </c>
      <c r="B299" s="10">
        <v>45663</v>
      </c>
      <c r="C299" s="10" t="str">
        <f t="shared" si="12"/>
        <v>Jan</v>
      </c>
      <c r="D299" t="s">
        <v>8</v>
      </c>
      <c r="E299" t="s">
        <v>22</v>
      </c>
      <c r="F299" t="s">
        <v>24</v>
      </c>
      <c r="G299" t="str">
        <f t="shared" si="13"/>
        <v>Variable</v>
      </c>
      <c r="H299" s="12">
        <v>542</v>
      </c>
      <c r="I299" t="s">
        <v>11</v>
      </c>
      <c r="J299" t="s">
        <v>12</v>
      </c>
      <c r="K299">
        <f t="shared" si="14"/>
        <v>1</v>
      </c>
    </row>
    <row r="300" spans="1:11" x14ac:dyDescent="0.25">
      <c r="A300">
        <v>5082</v>
      </c>
      <c r="B300" s="10">
        <v>45700</v>
      </c>
      <c r="C300" s="10" t="str">
        <f t="shared" si="12"/>
        <v>Feb</v>
      </c>
      <c r="D300" t="s">
        <v>25</v>
      </c>
      <c r="E300" t="s">
        <v>20</v>
      </c>
      <c r="F300" t="s">
        <v>10</v>
      </c>
      <c r="G300" t="str">
        <f t="shared" si="13"/>
        <v>Fixed</v>
      </c>
      <c r="H300" s="12">
        <v>520</v>
      </c>
      <c r="I300" t="s">
        <v>11</v>
      </c>
      <c r="J300" t="s">
        <v>17</v>
      </c>
      <c r="K300">
        <f t="shared" si="14"/>
        <v>0</v>
      </c>
    </row>
    <row r="301" spans="1:11" x14ac:dyDescent="0.25">
      <c r="A301">
        <v>5028</v>
      </c>
      <c r="B301" s="10">
        <v>45773</v>
      </c>
      <c r="C301" s="10" t="str">
        <f t="shared" si="12"/>
        <v>Apr</v>
      </c>
      <c r="D301" t="s">
        <v>23</v>
      </c>
      <c r="E301" t="s">
        <v>14</v>
      </c>
      <c r="F301" t="s">
        <v>24</v>
      </c>
      <c r="G301" t="str">
        <f t="shared" si="13"/>
        <v>Variable</v>
      </c>
      <c r="H301" s="12">
        <v>515</v>
      </c>
      <c r="I301" t="s">
        <v>11</v>
      </c>
      <c r="J301" t="s">
        <v>12</v>
      </c>
      <c r="K301">
        <f t="shared" si="14"/>
        <v>1</v>
      </c>
    </row>
  </sheetData>
  <sortState xmlns:xlrd2="http://schemas.microsoft.com/office/spreadsheetml/2017/richdata2" ref="A2:K302">
    <sortCondition descending="1" ref="H1:H302"/>
  </sortState>
  <conditionalFormatting sqref="H1:H1048576">
    <cfRule type="colorScale" priority="1">
      <colorScale>
        <cfvo type="min"/>
        <cfvo type="percentile" val="50"/>
        <cfvo type="max"/>
        <color rgb="FFF8696B"/>
        <color rgb="FFFFEB84"/>
        <color rgb="FF63BE7B"/>
      </colorScale>
    </cfRule>
    <cfRule type="colorScale" priority="2">
      <colorScale>
        <cfvo type="min"/>
        <cfvo type="max"/>
        <color rgb="FFFF7128"/>
        <color rgb="FFFFEF9C"/>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DD4F-2713-4E05-8189-431B27502908}">
  <dimension ref="C5:K20"/>
  <sheetViews>
    <sheetView workbookViewId="0">
      <selection activeCell="A20" sqref="A20"/>
    </sheetView>
  </sheetViews>
  <sheetFormatPr defaultRowHeight="15" x14ac:dyDescent="0.25"/>
  <cols>
    <col min="1" max="1" width="17" customWidth="1"/>
    <col min="2" max="2" width="6.42578125" customWidth="1"/>
    <col min="3" max="3" width="17.28515625" customWidth="1"/>
    <col min="4" max="4" width="16.42578125" customWidth="1"/>
    <col min="5" max="5" width="3.7109375" customWidth="1"/>
    <col min="6" max="6" width="15.85546875" bestFit="1" customWidth="1"/>
    <col min="7" max="7" width="22.28515625" customWidth="1"/>
    <col min="8" max="8" width="22.42578125" customWidth="1"/>
    <col min="9" max="9" width="13.42578125" bestFit="1" customWidth="1"/>
    <col min="10" max="10" width="13.140625" customWidth="1"/>
    <col min="11" max="11" width="15.42578125" customWidth="1"/>
    <col min="12" max="12" width="13.42578125" bestFit="1" customWidth="1"/>
    <col min="13" max="13" width="16.85546875" customWidth="1"/>
    <col min="14" max="14" width="23" bestFit="1" customWidth="1"/>
  </cols>
  <sheetData>
    <row r="5" spans="3:11" x14ac:dyDescent="0.25">
      <c r="F5" s="7" t="s">
        <v>36</v>
      </c>
      <c r="G5" s="7" t="s">
        <v>39</v>
      </c>
      <c r="H5" s="7" t="s">
        <v>38</v>
      </c>
      <c r="J5" s="7" t="s">
        <v>36</v>
      </c>
      <c r="K5" s="7" t="s">
        <v>34</v>
      </c>
    </row>
    <row r="6" spans="3:11" x14ac:dyDescent="0.25">
      <c r="F6" s="13" t="s">
        <v>17</v>
      </c>
      <c r="G6">
        <v>148</v>
      </c>
      <c r="H6">
        <v>148</v>
      </c>
      <c r="J6" s="13" t="s">
        <v>40</v>
      </c>
      <c r="K6" s="12">
        <v>875584</v>
      </c>
    </row>
    <row r="7" spans="3:11" x14ac:dyDescent="0.25">
      <c r="D7" s="7" t="s">
        <v>35</v>
      </c>
      <c r="F7" s="13" t="s">
        <v>12</v>
      </c>
      <c r="G7">
        <v>152</v>
      </c>
      <c r="H7">
        <v>152</v>
      </c>
      <c r="J7" s="13" t="s">
        <v>41</v>
      </c>
      <c r="K7" s="12">
        <v>580856</v>
      </c>
    </row>
    <row r="8" spans="3:11" x14ac:dyDescent="0.25">
      <c r="D8" s="12">
        <v>3073521</v>
      </c>
      <c r="F8" s="14" t="s">
        <v>37</v>
      </c>
      <c r="G8" s="16">
        <v>300</v>
      </c>
      <c r="H8" s="16">
        <v>300</v>
      </c>
      <c r="J8" s="13" t="s">
        <v>42</v>
      </c>
      <c r="K8" s="12">
        <v>867208</v>
      </c>
    </row>
    <row r="9" spans="3:11" x14ac:dyDescent="0.25">
      <c r="J9" s="13" t="s">
        <v>43</v>
      </c>
      <c r="K9" s="12">
        <v>749873</v>
      </c>
    </row>
    <row r="10" spans="3:11" x14ac:dyDescent="0.25">
      <c r="J10" s="14" t="s">
        <v>37</v>
      </c>
      <c r="K10" s="15">
        <v>3073521</v>
      </c>
    </row>
    <row r="13" spans="3:11" x14ac:dyDescent="0.25">
      <c r="C13" s="7" t="s">
        <v>36</v>
      </c>
      <c r="D13" s="7" t="s">
        <v>34</v>
      </c>
      <c r="F13" s="7" t="s">
        <v>36</v>
      </c>
      <c r="G13" s="7" t="s">
        <v>34</v>
      </c>
    </row>
    <row r="14" spans="3:11" x14ac:dyDescent="0.25">
      <c r="C14" s="13" t="s">
        <v>8</v>
      </c>
      <c r="D14" s="12">
        <v>670274</v>
      </c>
      <c r="F14" s="13" t="s">
        <v>27</v>
      </c>
      <c r="G14" s="12">
        <v>479745</v>
      </c>
      <c r="J14" s="7" t="s">
        <v>36</v>
      </c>
      <c r="K14" s="7" t="s">
        <v>34</v>
      </c>
    </row>
    <row r="15" spans="3:11" x14ac:dyDescent="0.25">
      <c r="C15" s="13" t="s">
        <v>23</v>
      </c>
      <c r="D15" s="12">
        <v>583652</v>
      </c>
      <c r="F15" s="13" t="s">
        <v>24</v>
      </c>
      <c r="G15" s="12">
        <v>440262</v>
      </c>
      <c r="J15" s="13" t="s">
        <v>22</v>
      </c>
      <c r="K15" s="12">
        <v>744063</v>
      </c>
    </row>
    <row r="16" spans="3:11" x14ac:dyDescent="0.25">
      <c r="C16" s="13" t="s">
        <v>13</v>
      </c>
      <c r="D16" s="12">
        <v>680748</v>
      </c>
      <c r="F16" s="13" t="s">
        <v>18</v>
      </c>
      <c r="G16" s="12">
        <v>712953</v>
      </c>
      <c r="J16" s="13" t="s">
        <v>20</v>
      </c>
      <c r="K16" s="12">
        <v>875918</v>
      </c>
    </row>
    <row r="17" spans="3:11" x14ac:dyDescent="0.25">
      <c r="C17" s="13" t="s">
        <v>21</v>
      </c>
      <c r="D17" s="12">
        <v>501538</v>
      </c>
      <c r="F17" s="13" t="s">
        <v>10</v>
      </c>
      <c r="G17" s="12">
        <v>537653</v>
      </c>
      <c r="J17" s="13" t="s">
        <v>14</v>
      </c>
      <c r="K17" s="12">
        <v>808906</v>
      </c>
    </row>
    <row r="18" spans="3:11" x14ac:dyDescent="0.25">
      <c r="C18" s="13" t="s">
        <v>25</v>
      </c>
      <c r="D18" s="12">
        <v>637309</v>
      </c>
      <c r="F18" s="13" t="s">
        <v>26</v>
      </c>
      <c r="G18" s="12">
        <v>492484</v>
      </c>
      <c r="J18" s="13" t="s">
        <v>9</v>
      </c>
      <c r="K18" s="12">
        <v>644634</v>
      </c>
    </row>
    <row r="19" spans="3:11" x14ac:dyDescent="0.25">
      <c r="C19" s="14" t="s">
        <v>37</v>
      </c>
      <c r="D19" s="15">
        <v>3073521</v>
      </c>
      <c r="F19" s="13" t="s">
        <v>15</v>
      </c>
      <c r="G19" s="12">
        <v>410424</v>
      </c>
      <c r="J19" s="14" t="s">
        <v>37</v>
      </c>
      <c r="K19" s="15">
        <v>3073521</v>
      </c>
    </row>
    <row r="20" spans="3:11" x14ac:dyDescent="0.25">
      <c r="F20" s="14" t="s">
        <v>37</v>
      </c>
      <c r="G20" s="15">
        <v>3073521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6723-D5ED-4430-9697-87CDC6C62667}">
  <dimension ref="C5"/>
  <sheetViews>
    <sheetView zoomScale="79" zoomScaleNormal="100" workbookViewId="0">
      <selection activeCell="L28" sqref="L28"/>
    </sheetView>
  </sheetViews>
  <sheetFormatPr defaultRowHeight="15" x14ac:dyDescent="0.25"/>
  <cols>
    <col min="2" max="3" width="19.28515625" customWidth="1"/>
  </cols>
  <sheetData>
    <row r="5" spans="3:3" x14ac:dyDescent="0.25">
      <c r="C5"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Raw_Dataset</vt:lpstr>
      <vt:lpstr>Cleaned_Data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DEEBYTE COMPUTERS</dc:creator>
  <cp:lastModifiedBy>Abdullah Ahmad</cp:lastModifiedBy>
  <dcterms:created xsi:type="dcterms:W3CDTF">2026-04-06T20:36:54Z</dcterms:created>
  <dcterms:modified xsi:type="dcterms:W3CDTF">2026-04-08T18:13:48Z</dcterms:modified>
</cp:coreProperties>
</file>